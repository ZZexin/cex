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f0c552d01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所有循环" sheetId="1" r:id="Ra32a477749754ad7"/>
    <x:sheet xmlns:r="http://schemas.openxmlformats.org/officeDocument/2006/relationships" name="文件条件" sheetId="2" r:id="R156e9a6332c3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"/>
    <x:numFmt numFmtId="201" formatCode="0.00"/>
    <x:numFmt numFmtId="202" formatCode="0.0000"/>
    <x:numFmt numFmtId="203" formatCode="0.000000"/>
    <x:numFmt numFmtId="204" formatCode="yyyy-mm-dd hh:mm:ss"/>
  </x:numFmts>
  <x:fonts count="7">
    <x:font>
      <x:sz val="11"/>
      <x:name val="Carlito"/>
    </x:font>
    <x:font>
      <x:sz val="11"/>
      <x:color rgb="FF243444"/>
      <x:name val="Arial"/>
    </x:font>
    <x:font>
      <x:b/>
      <x:sz val="16"/>
      <x:color rgb="FF233D52"/>
      <x:name val="Arial"/>
    </x:font>
    <x:font>
      <x:sz val="10"/>
      <x:color rgb="FF536374"/>
      <x:name val="Arial"/>
    </x:font>
    <x:font>
      <x:b/>
      <x:sz val="11"/>
      <x:color rgb="FFFFFFFF"/>
      <x:name val="Arial"/>
    </x:font>
    <x:font>
      <x:sz val="10"/>
      <x:color rgb="FF243444"/>
      <x:name val="Arial"/>
    </x:font>
    <x:font>
      <x:b/>
      <x:sz val="11"/>
      <x:color rgb="FF18605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52"/>
      </x:patternFill>
    </x:fill>
    <x:fill>
      <x:patternFill patternType="solid">
        <x:fgColor rgb="FFFFF2CC"/>
      </x:patternFill>
    </x:fill>
    <x:fill>
      <x:patternFill patternType="solid">
        <x:fgColor rgb="FFF2F5F7"/>
      </x:patternFill>
    </x:fill>
  </x:fills>
  <x:borders count="3">
    <x:border/>
    <x:border>
      <x:bottom style="thin">
        <x:color rgb="FF6B8FA5"/>
      </x:bottom>
    </x:border>
    <x:border>
      <x:top style="thin">
        <x:color rgb="FF9CAFBF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6" fillId="4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3" fontId="1" fillId="4" borderId="2" xfId="0" applyNumberFormat="1" applyFont="1" applyFill="1" applyBorder="1" applyAlignment="1">
      <x:alignment vertical="center" wrapText="1"/>
    </x:xf>
    <x:xf numFmtId="203" fontId="6" fillId="4" borderId="2" xfId="0" applyNumberFormat="1" applyFont="1" applyFill="1" applyBorder="1" applyAlignment="1">
      <x:alignment vertical="center" wrapText="1"/>
    </x:xf>
    <x:xf numFmtId="204" fontId="1" fillId="4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3" fontId="6" fillId="0" borderId="2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A5519"/>
      </x:font>
    </x:dxf>
    <x:dxf>
      <x:font>
        <x:color rgb="FF9A551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eed2510b44702" /><Relationship Type="http://schemas.openxmlformats.org/officeDocument/2006/relationships/theme" Target="/xl/theme/theme1.xml" Id="Re3e6b1a115634ace" /><Relationship Type="http://schemas.openxmlformats.org/officeDocument/2006/relationships/sharedStrings" Target="/xl/sharedStrings.xml" Id="R0a5c5908f52f4db6" /><Relationship Type="http://schemas.openxmlformats.org/officeDocument/2006/relationships/worksheet" Target="/xl/worksheets/sheet1.xml" Id="Ra32a477749754ad7" /><Relationship Type="http://schemas.openxmlformats.org/officeDocument/2006/relationships/worksheet" Target="/xl/worksheets/sheet2.xml" Id="R156e9a6332c34143" /></Relationships>
</file>

<file path=xl/tables/table1.xml><?xml version="1.0" encoding="utf-8"?>
<x:table xmlns:x="http://schemas.openxmlformats.org/spreadsheetml/2006/main" id="1" name="AllDischargeCycles" displayName="AllDischargeCycles" ref="A7:M71" headerRowCount="1" totalsRowCount="0" totalsRowShown="0">
  <x:autoFilter ref="A7:M71"/>
  <x:tableColumns count="13">
    <x:tableColumn id="1" name="文件编号"/>
    <x:tableColumn id="2" name="完整文件名"/>
    <x:tableColumn id="3" name="循环号"/>
    <x:tableColumn id="4" name="本圈光照&#10;（按文件名）"/>
    <x:tableColumn id="5" name="面积&#10;(cm²)"/>
    <x:tableColumn id="6" name="设定截止电压&#10;(V)"/>
    <x:tableColumn id="7" name="放电末点电压&#10;(V)"/>
    <x:tableColumn id="8" name="放电末点容量&#10;(mAh)"/>
    <x:tableColumn id="9" name="放电末点面积比容量&#10;(mAh/cm²)"/>
    <x:tableColumn id="10" name="达到截止电压&#10;对应比容量&#10;(mAh/cm²)"/>
    <x:tableColumn id="11" name="放电状态"/>
    <x:tableColumn id="12" name="放电末点时间"/>
    <x:tableColumn id="13" name="原始记录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c10eb25b8c41a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62.5" hidden="0" customWidth="1"/>
    <x:col min="3" max="3" width="9.380000114440918" hidden="0" customWidth="1"/>
    <x:col min="4" max="4" width="25" hidden="0" customWidth="1"/>
    <x:col min="5" max="5" width="11.25" hidden="0" customWidth="1"/>
    <x:col min="6" max="6" width="14.380000114440918" hidden="0" customWidth="1"/>
    <x:col min="7" max="7" width="15" hidden="0" customWidth="1"/>
    <x:col min="8" max="8" width="15.630000114440918" hidden="0" customWidth="1"/>
    <x:col min="9" max="9" width="19.3799991607666" hidden="0" customWidth="1"/>
    <x:col min="10" max="10" width="19.3799991607666" hidden="0" customWidth="1"/>
    <x:col min="11" max="11" width="14.380000114440918" hidden="0" customWidth="1"/>
    <x:col min="12" max="12" width="23.75" hidden="0" customWidth="1"/>
    <x:col min="13" max="13" width="14.380000114440918" hidden="0" customWidth="1"/>
  </x:cols>
  <x:sheetData>
    <x:row r="1" ht="7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3"/>
      <x:c r="B2" s="6" t="str">
        <x:v>NDAX 全部循环放电数据（15 文件，64 循环）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18.75" customHeight="1">
      <x:c r="A3" s="3"/>
      <x:c r="B3" s="9" t="str">
        <x:v>每个文件的每一圈均保留，可按完整文件名筛选。原始循环计数 + 1 为循环号，包含 2 个尚无放电记录的循环。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8.75" customHeight="1">
      <x:c r="A4" s="3"/>
      <x:c r="B4" s="9" t="str">
        <x:v>每圈取放电工步末条记录，电压与容量来自同一记录。面积比容量 = 容量 ÷ 面积，可在「文件条件」修改面积。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18.75" customHeight="1">
      <x:c r="A5" s="3"/>
      <x:c r="B5" s="9" t="str">
        <x:v>达到截止判据：末点电压 ≤ 设定值 + 0.0005 V。未达截止或无放电记录时，截止比容量留空，不插值、不外推。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9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8" customHeight="1">
      <x:c r="A7" s="12" t="str">
        <x:v>文件编号</x:v>
      </x:c>
      <x:c r="B7" s="12" t="str">
        <x:v>完整文件名</x:v>
      </x:c>
      <x:c r="C7" s="12" t="str">
        <x:v>循环号</x:v>
      </x:c>
      <x:c r="D7" s="12" t="str">
        <x:v>本圈光照
（按文件名）</x:v>
      </x:c>
      <x:c r="E7" s="12" t="str">
        <x:v>面积
(cm²)</x:v>
      </x:c>
      <x:c r="F7" s="12" t="str">
        <x:v>设定截止电压
(V)</x:v>
      </x:c>
      <x:c r="G7" s="12" t="str">
        <x:v>放电末点电压
(V)</x:v>
      </x:c>
      <x:c r="H7" s="12" t="str">
        <x:v>放电末点容量
(mAh)</x:v>
      </x:c>
      <x:c r="I7" s="12" t="str">
        <x:v>放电末点面积比容量
(mAh/cm²)</x:v>
      </x:c>
      <x:c r="J7" s="12" t="str">
        <x:v>达到截止电压
对应比容量
(mAh/cm²)</x:v>
      </x:c>
      <x:c r="K7" s="12" t="str">
        <x:v>放电状态</x:v>
      </x:c>
      <x:c r="L7" s="12" t="str">
        <x:v>放电末点时间</x:v>
      </x:c>
      <x:c r="M7" s="12" t="str">
        <x:v>原始记录号</x:v>
      </x:c>
    </x:row>
    <x:row r="8" ht="48" customHeight="1">
      <x:c r="A8" s="29" t="n">
        <x:v>1</x:v>
      </x:c>
      <x:c r="B8" s="30" t="str">
        <x:v>sno2zmo, 0.05ma,cm2dcg. 0.18cm2, light 12cm0.5sun-240045-11-1-2818575313.ndax</x:v>
      </x:c>
      <x:c r="C8" s="31" t="n">
        <x:v>1</x:v>
      </x:c>
      <x:c r="D8" s="31" t="str">
        <x:v>12 cm / 0.5 sun</x:v>
      </x:c>
      <x:c r="E8" s="32" t="n">
        <x:f>'文件条件'!F8</x:f>
        <x:v>0.18</x:v>
      </x:c>
      <x:c r="F8" s="33" t="n">
        <x:v>0.8</x:v>
      </x:c>
      <x:c r="G8" s="33" t="n">
        <x:v>0.7998</x:v>
      </x:c>
      <x:c r="H8" s="34" t="n">
        <x:v>0.16304872222222222</x:v>
      </x:c>
      <x:c r="I8" s="35" t="n">
        <x:f>H8/E8</x:f>
        <x:v>0.9058262345679012</x:v>
      </x:c>
      <x:c r="J8" s="35" t="n">
        <x:f>I8</x:f>
        <x:v>0.9058262345679012</x:v>
      </x:c>
      <x:c r="K8" s="31" t="str">
        <x:v>已达截止</x:v>
      </x:c>
      <x:c r="L8" s="36" t="n">
        <x:v>46235.39372685185</x:v>
      </x:c>
      <x:c r="M8" s="31" t="n">
        <x:v>3476</x:v>
      </x:c>
    </x:row>
    <x:row r="9" ht="48" customHeight="1">
      <x:c r="A9" s="21" t="n">
        <x:v>1</x:v>
      </x:c>
      <x:c r="B9" s="22" t="str">
        <x:v>sno2zmo, 0.05ma,cm2dcg. 0.18cm2, light 12cm0.5sun-240045-11-1-2818575313.ndax</x:v>
      </x:c>
      <x:c r="C9" s="23" t="n">
        <x:v>2</x:v>
      </x:c>
      <x:c r="D9" s="23" t="str">
        <x:v>12 cm / 0.5 sun</x:v>
      </x:c>
      <x:c r="E9" s="24" t="n">
        <x:f>'文件条件'!F8</x:f>
        <x:v>0.18</x:v>
      </x:c>
      <x:c r="F9" s="25" t="n">
        <x:v>0.8</x:v>
      </x:c>
      <x:c r="G9" s="25" t="n">
        <x:v>0.7998</x:v>
      </x:c>
      <x:c r="H9" s="26" t="n">
        <x:v>0.12227637777777779</x:v>
      </x:c>
      <x:c r="I9" s="27" t="n">
        <x:f>H9/E9</x:f>
        <x:v>0.6793132098765433</x:v>
      </x:c>
      <x:c r="J9" s="27" t="n">
        <x:f>I9</x:f>
        <x:v>0.6793132098765433</x:v>
      </x:c>
      <x:c r="K9" s="23" t="str">
        <x:v>已达截止</x:v>
      </x:c>
      <x:c r="L9" s="28" t="n">
        <x:v>46236.11755787037</x:v>
      </x:c>
      <x:c r="M9" s="23" t="n">
        <x:v>6606</x:v>
      </x:c>
    </x:row>
    <x:row r="10" ht="48" customHeight="1">
      <x:c r="A10" s="21" t="n">
        <x:v>1</x:v>
      </x:c>
      <x:c r="B10" s="22" t="str">
        <x:v>sno2zmo, 0.05ma,cm2dcg. 0.18cm2, light 12cm0.5sun-240045-11-1-2818575313.ndax</x:v>
      </x:c>
      <x:c r="C10" s="23" t="n">
        <x:v>3</x:v>
      </x:c>
      <x:c r="D10" s="23" t="str">
        <x:v>12 cm / 0.5 sun</x:v>
      </x:c>
      <x:c r="E10" s="24" t="n">
        <x:f>'文件条件'!F8</x:f>
        <x:v>0.18</x:v>
      </x:c>
      <x:c r="F10" s="25" t="n">
        <x:v>0.8</x:v>
      </x:c>
      <x:c r="G10" s="25" t="n">
        <x:v>0.7998</x:v>
      </x:c>
      <x:c r="H10" s="26" t="n">
        <x:v>0.11190053333333334</x:v>
      </x:c>
      <x:c r="I10" s="27" t="n">
        <x:f>H10/E10</x:f>
        <x:v>0.6216696296296297</x:v>
      </x:c>
      <x:c r="J10" s="27" t="n">
        <x:f>I10</x:f>
        <x:v>0.6216696296296297</x:v>
      </x:c>
      <x:c r="K10" s="23" t="str">
        <x:v>已达截止</x:v>
      </x:c>
      <x:c r="L10" s="28" t="n">
        <x:v>46236.756064814814</x:v>
      </x:c>
      <x:c r="M10" s="23" t="n">
        <x:v>9367</x:v>
      </x:c>
    </x:row>
    <x:row r="11" ht="48" customHeight="1">
      <x:c r="A11" s="21" t="n">
        <x:v>1</x:v>
      </x:c>
      <x:c r="B11" s="22" t="str">
        <x:v>sno2zmo, 0.05ma,cm2dcg. 0.18cm2, light 12cm0.5sun-240045-11-1-2818575313.ndax</x:v>
      </x:c>
      <x:c r="C11" s="23" t="n">
        <x:v>4</x:v>
      </x:c>
      <x:c r="D11" s="23" t="str">
        <x:v>12 cm / 0.5 sun</x:v>
      </x:c>
      <x:c r="E11" s="24" t="n">
        <x:f>'文件条件'!F8</x:f>
        <x:v>0.18</x:v>
      </x:c>
      <x:c r="F11" s="25" t="n">
        <x:v>0.8</x:v>
      </x:c>
      <x:c r="G11" s="25" t="n">
        <x:v>0.7998</x:v>
      </x:c>
      <x:c r="H11" s="26" t="n">
        <x:v>0.10620683333333333</x:v>
      </x:c>
      <x:c r="I11" s="27" t="n">
        <x:f>H11/E11</x:f>
        <x:v>0.590037962962963</x:v>
      </x:c>
      <x:c r="J11" s="27" t="n">
        <x:f>I11</x:f>
        <x:v>0.590037962962963</x:v>
      </x:c>
      <x:c r="K11" s="23" t="str">
        <x:v>已达截止</x:v>
      </x:c>
      <x:c r="L11" s="28" t="n">
        <x:v>46237.358564814815</x:v>
      </x:c>
      <x:c r="M11" s="23" t="n">
        <x:v>11973</x:v>
      </x:c>
    </x:row>
    <x:row r="12" ht="48" customHeight="1">
      <x:c r="A12" s="21" t="n">
        <x:v>1</x:v>
      </x:c>
      <x:c r="B12" s="22" t="str">
        <x:v>sno2zmo, 0.05ma,cm2dcg. 0.18cm2, light 12cm0.5sun-240045-11-1-2818575313.ndax</x:v>
      </x:c>
      <x:c r="C12" s="23" t="n">
        <x:v>5</x:v>
      </x:c>
      <x:c r="D12" s="23" t="str">
        <x:v>12 cm / 0.5 sun</x:v>
      </x:c>
      <x:c r="E12" s="24" t="n">
        <x:f>'文件条件'!F8</x:f>
        <x:v>0.18</x:v>
      </x:c>
      <x:c r="F12" s="25" t="n">
        <x:v>0.8</x:v>
      </x:c>
      <x:c r="G12" s="25" t="n">
        <x:v>0.7998</x:v>
      </x:c>
      <x:c r="H12" s="26" t="n">
        <x:v>0.10215594444444445</x:v>
      </x:c>
      <x:c r="I12" s="27" t="n">
        <x:f>H12/E12</x:f>
        <x:v>0.5675330246913581</x:v>
      </x:c>
      <x:c r="J12" s="27" t="n">
        <x:f>I12</x:f>
        <x:v>0.5675330246913581</x:v>
      </x:c>
      <x:c r="K12" s="23" t="str">
        <x:v>已达截止</x:v>
      </x:c>
      <x:c r="L12" s="28" t="n">
        <x:v>46237.937256944446</x:v>
      </x:c>
      <x:c r="M12" s="23" t="n">
        <x:v>14476</x:v>
      </x:c>
    </x:row>
    <x:row r="13" ht="48" customHeight="1">
      <x:c r="A13" s="21" t="n">
        <x:v>1</x:v>
      </x:c>
      <x:c r="B13" s="22" t="str">
        <x:v>sno2zmo, 0.05ma,cm2dcg. 0.18cm2, light 12cm0.5sun-240045-11-1-2818575313.ndax</x:v>
      </x:c>
      <x:c r="C13" s="23" t="n">
        <x:v>6</x:v>
      </x:c>
      <x:c r="D13" s="23" t="str">
        <x:v>12 cm / 0.5 sun</x:v>
      </x:c>
      <x:c r="E13" s="24" t="n">
        <x:f>'文件条件'!F8</x:f>
        <x:v>0.18</x:v>
      </x:c>
      <x:c r="F13" s="25" t="n">
        <x:v>0.8</x:v>
      </x:c>
      <x:c r="G13" s="25" t="n">
        <x:v>0.7998</x:v>
      </x:c>
      <x:c r="H13" s="26" t="n">
        <x:v>0.10043571111111113</x:v>
      </x:c>
      <x:c r="I13" s="27" t="n">
        <x:f>H13/E13</x:f>
        <x:v>0.5579761728395063</x:v>
      </x:c>
      <x:c r="J13" s="27" t="n">
        <x:f>I13</x:f>
        <x:v>0.5579761728395063</x:v>
      </x:c>
      <x:c r="K13" s="23" t="str">
        <x:v>已达截止</x:v>
      </x:c>
      <x:c r="L13" s="28" t="n">
        <x:v>46238.50407407407</x:v>
      </x:c>
      <x:c r="M13" s="23" t="n">
        <x:v>16927</x:v>
      </x:c>
    </x:row>
    <x:row r="14" ht="48" customHeight="1">
      <x:c r="A14" s="21" t="n">
        <x:v>1</x:v>
      </x:c>
      <x:c r="B14" s="22" t="str">
        <x:v>sno2zmo, 0.05ma,cm2dcg. 0.18cm2, light 12cm0.5sun-240045-11-1-2818575313.ndax</x:v>
      </x:c>
      <x:c r="C14" s="23" t="n">
        <x:v>7</x:v>
      </x:c>
      <x:c r="D14" s="23" t="str">
        <x:v>12 cm / 0.5 sun</x:v>
      </x:c>
      <x:c r="E14" s="24" t="n">
        <x:f>'文件条件'!F8</x:f>
        <x:v>0.18</x:v>
      </x:c>
      <x:c r="F14" s="25" t="n">
        <x:v>0.8</x:v>
      </x:c>
      <x:c r="G14" s="25" t="n">
        <x:v>0.7998</x:v>
      </x:c>
      <x:c r="H14" s="26" t="n">
        <x:v>0.09946356666666667</x:v>
      </x:c>
      <x:c r="I14" s="27" t="n">
        <x:f>H14/E14</x:f>
        <x:v>0.5525753703703704</x:v>
      </x:c>
      <x:c r="J14" s="27" t="n">
        <x:f>I14</x:f>
        <x:v>0.5525753703703704</x:v>
      </x:c>
      <x:c r="K14" s="23" t="str">
        <x:v>已达截止</x:v>
      </x:c>
      <x:c r="L14" s="28" t="n">
        <x:v>46239.06537037037</x:v>
      </x:c>
      <x:c r="M14" s="23" t="n">
        <x:v>19355</x:v>
      </x:c>
    </x:row>
    <x:row r="15" ht="48" customHeight="1">
      <x:c r="A15" s="21" t="n">
        <x:v>1</x:v>
      </x:c>
      <x:c r="B15" s="22" t="str">
        <x:v>sno2zmo, 0.05ma,cm2dcg. 0.18cm2, light 12cm0.5sun-240045-11-1-2818575313.ndax</x:v>
      </x:c>
      <x:c r="C15" s="23" t="n">
        <x:v>8</x:v>
      </x:c>
      <x:c r="D15" s="23" t="str">
        <x:v>12 cm / 0.5 sun</x:v>
      </x:c>
      <x:c r="E15" s="24" t="n">
        <x:f>'文件条件'!F8</x:f>
        <x:v>0.18</x:v>
      </x:c>
      <x:c r="F15" s="25" t="n">
        <x:v>0.8</x:v>
      </x:c>
      <x:c r="G15" s="25" t="n">
        <x:v>0.7998</x:v>
      </x:c>
      <x:c r="H15" s="26" t="n">
        <x:v>0.09679617777777778</x:v>
      </x:c>
      <x:c r="I15" s="27" t="n">
        <x:f>H15/E15</x:f>
        <x:v>0.5377565432098766</x:v>
      </x:c>
      <x:c r="J15" s="27" t="n">
        <x:f>I15</x:f>
        <x:v>0.5377565432098766</x:v>
      </x:c>
      <x:c r="K15" s="23" t="str">
        <x:v>已达截止</x:v>
      </x:c>
      <x:c r="L15" s="28" t="n">
        <x:v>46239.61221064815</x:v>
      </x:c>
      <x:c r="M15" s="23" t="n">
        <x:v>21721</x:v>
      </x:c>
    </x:row>
    <x:row r="16" ht="48" customHeight="1">
      <x:c r="A16" s="21" t="n">
        <x:v>1</x:v>
      </x:c>
      <x:c r="B16" s="22" t="str">
        <x:v>sno2zmo, 0.05ma,cm2dcg. 0.18cm2, light 12cm0.5sun-240045-11-1-2818575313.ndax</x:v>
      </x:c>
      <x:c r="C16" s="23" t="n">
        <x:v>9</x:v>
      </x:c>
      <x:c r="D16" s="23" t="str">
        <x:v>12 cm / 0.5 sun</x:v>
      </x:c>
      <x:c r="E16" s="24" t="n">
        <x:f>'文件条件'!F8</x:f>
        <x:v>0.18</x:v>
      </x:c>
      <x:c r="F16" s="25" t="n">
        <x:v>0.8</x:v>
      </x:c>
      <x:c r="G16" s="25" t="n">
        <x:v>0.7998</x:v>
      </x:c>
      <x:c r="H16" s="26" t="n">
        <x:v>0.09560345555555556</x:v>
      </x:c>
      <x:c r="I16" s="27" t="n">
        <x:f>H16/E16</x:f>
        <x:v>0.5311303086419754</x:v>
      </x:c>
      <x:c r="J16" s="27" t="n">
        <x:f>I16</x:f>
        <x:v>0.5311303086419754</x:v>
      </x:c>
      <x:c r="K16" s="23" t="str">
        <x:v>已达截止</x:v>
      </x:c>
      <x:c r="L16" s="28" t="n">
        <x:v>46240.15167824074</x:v>
      </x:c>
      <x:c r="M16" s="23" t="n">
        <x:v>24055</x:v>
      </x:c>
    </x:row>
    <x:row r="17" ht="48" customHeight="1">
      <x:c r="A17" s="21" t="n">
        <x:v>1</x:v>
      </x:c>
      <x:c r="B17" s="22" t="str">
        <x:v>sno2zmo, 0.05ma,cm2dcg. 0.18cm2, light 12cm0.5sun-240045-11-1-2818575313.ndax</x:v>
      </x:c>
      <x:c r="C17" s="23" t="n">
        <x:v>10</x:v>
      </x:c>
      <x:c r="D17" s="23" t="str">
        <x:v>12 cm / 0.5 sun</x:v>
      </x:c>
      <x:c r="E17" s="24" t="n">
        <x:f>'文件条件'!F8</x:f>
        <x:v>0.18</x:v>
      </x:c>
      <x:c r="F17" s="25" t="n">
        <x:v>0.8</x:v>
      </x:c>
      <x:c r="G17" s="25" t="n">
        <x:v>1.0909</x:v>
      </x:c>
      <x:c r="H17" s="26" t="n">
        <x:v>0.07836070555555556</x:v>
      </x:c>
      <x:c r="I17" s="27" t="n">
        <x:f>H17/E17</x:f>
        <x:v>0.4353372530864198</x:v>
      </x:c>
      <x:c r="J17" s="27" t="str">
        <x:f>""</x:f>
      </x:c>
      <x:c r="K17" s="23" t="str">
        <x:v>未达截止</x:v>
      </x:c>
      <x:c r="L17" s="28" t="n">
        <x:v>46240.60957175926</x:v>
      </x:c>
      <x:c r="M17" s="23" t="n">
        <x:v>26036</x:v>
      </x:c>
    </x:row>
    <x:row r="18" ht="48" customHeight="1">
      <x:c r="A18" s="37" t="n">
        <x:v>2</x:v>
      </x:c>
      <x:c r="B18" s="38" t="str">
        <x:v>sno2zmo, 0.05ma,cm2dcg. 0.18cm2, light 12cm0.5sun-240045-11-1-2818575314.ndax</x:v>
      </x:c>
      <x:c r="C18" s="39" t="n">
        <x:v>1</x:v>
      </x:c>
      <x:c r="D18" s="39" t="str">
        <x:v>12 cm / 0.5 sun</x:v>
      </x:c>
      <x:c r="E18" s="40" t="n">
        <x:f>'文件条件'!F9</x:f>
        <x:v>0.18</x:v>
      </x:c>
      <x:c r="F18" s="41" t="n">
        <x:v>0.8</x:v>
      </x:c>
      <x:c r="G18" s="41" t="n">
        <x:v>0.7998</x:v>
      </x:c>
      <x:c r="H18" s="42" t="n">
        <x:v>0.15467807777777778</x:v>
      </x:c>
      <x:c r="I18" s="43" t="n">
        <x:f>H18/E18</x:f>
        <x:v>0.8593226543209878</x:v>
      </x:c>
      <x:c r="J18" s="43" t="n">
        <x:f>I18</x:f>
        <x:v>0.8593226543209878</x:v>
      </x:c>
      <x:c r="K18" s="39" t="str">
        <x:v>已达截止</x:v>
      </x:c>
      <x:c r="L18" s="44" t="n">
        <x:v>46241.423101851855</x:v>
      </x:c>
      <x:c r="M18" s="39" t="n">
        <x:v>3512</x:v>
      </x:c>
    </x:row>
    <x:row r="19" ht="48" customHeight="1">
      <x:c r="A19" s="14" t="n">
        <x:v>2</x:v>
      </x:c>
      <x:c r="B19" s="13" t="str">
        <x:v>sno2zmo, 0.05ma,cm2dcg. 0.18cm2, light 12cm0.5sun-240045-11-1-2818575314.ndax</x:v>
      </x:c>
      <x:c r="C19" s="3" t="n">
        <x:v>2</x:v>
      </x:c>
      <x:c r="D19" s="3" t="str">
        <x:v>12 cm / 0.5 sun</x:v>
      </x:c>
      <x:c r="E19" s="15" t="n">
        <x:f>'文件条件'!F9</x:f>
        <x:v>0.18</x:v>
      </x:c>
      <x:c r="F19" s="17" t="n">
        <x:v>0.8</x:v>
      </x:c>
      <x:c r="G19" s="17"/>
      <x:c r="H19" s="18"/>
      <x:c r="I19" s="20" t="str">
        <x:f>""</x:f>
      </x:c>
      <x:c r="J19" s="20" t="str">
        <x:f>""</x:f>
      </x:c>
      <x:c r="K19" s="3" t="str">
        <x:v>无放电记录</x:v>
      </x:c>
      <x:c r="L19" s="19"/>
      <x:c r="M19" s="3"/>
    </x:row>
    <x:row r="20" ht="48" customHeight="1">
      <x:c r="A20" s="29" t="n">
        <x:v>3</x:v>
      </x:c>
      <x:c r="B20" s="30" t="str">
        <x:v>sno2zmo, 0.05ma,cm2dcg. 0.18cm2, light 12cm0.5sun-240045-2-1-2818575314.ndax</x:v>
      </x:c>
      <x:c r="C20" s="31" t="n">
        <x:v>1</x:v>
      </x:c>
      <x:c r="D20" s="31" t="str">
        <x:v>12 cm / 0.5 sun</x:v>
      </x:c>
      <x:c r="E20" s="32" t="n">
        <x:f>'文件条件'!F10</x:f>
        <x:v>0.18</x:v>
      </x:c>
      <x:c r="F20" s="33" t="n">
        <x:v>0.8</x:v>
      </x:c>
      <x:c r="G20" s="33" t="n">
        <x:v>0.7998</x:v>
      </x:c>
      <x:c r="H20" s="34" t="n">
        <x:v>0.1197721888888889</x:v>
      </x:c>
      <x:c r="I20" s="35" t="n">
        <x:f>H20/E20</x:f>
        <x:v>0.6654010493827162</x:v>
      </x:c>
      <x:c r="J20" s="35" t="n">
        <x:f>I20</x:f>
        <x:v>0.6654010493827162</x:v>
      </x:c>
      <x:c r="K20" s="31" t="str">
        <x:v>已达截止</x:v>
      </x:c>
      <x:c r="L20" s="36" t="n">
        <x:v>46241.33337962963</x:v>
      </x:c>
      <x:c r="M20" s="31" t="n">
        <x:v>3125</x:v>
      </x:c>
    </x:row>
    <x:row r="21" ht="48" customHeight="1">
      <x:c r="A21" s="21" t="n">
        <x:v>3</x:v>
      </x:c>
      <x:c r="B21" s="22" t="str">
        <x:v>sno2zmo, 0.05ma,cm2dcg. 0.18cm2, light 12cm0.5sun-240045-2-1-2818575314.ndax</x:v>
      </x:c>
      <x:c r="C21" s="23" t="n">
        <x:v>2</x:v>
      </x:c>
      <x:c r="D21" s="23" t="str">
        <x:v>12 cm / 0.5 sun</x:v>
      </x:c>
      <x:c r="E21" s="24" t="n">
        <x:f>'文件条件'!F10</x:f>
        <x:v>0.18</x:v>
      </x:c>
      <x:c r="F21" s="25" t="n">
        <x:v>0.8</x:v>
      </x:c>
      <x:c r="G21" s="25" t="n">
        <x:v>1.5181</x:v>
      </x:c>
      <x:c r="H21" s="26" t="n">
        <x:v>0.016420197222222224</x:v>
      </x:c>
      <x:c r="I21" s="27" t="n">
        <x:f>H21/E21</x:f>
        <x:v>0.09122331790123459</x:v>
      </x:c>
      <x:c r="J21" s="27" t="str">
        <x:f>""</x:f>
      </x:c>
      <x:c r="K21" s="23" t="str">
        <x:v>未达截止</x:v>
      </x:c>
      <x:c r="L21" s="28" t="n">
        <x:v>46241.53892361111</x:v>
      </x:c>
      <x:c r="M21" s="23" t="n">
        <x:v>4015</x:v>
      </x:c>
    </x:row>
    <x:row r="22" ht="48" customHeight="1">
      <x:c r="A22" s="37" t="n">
        <x:v>4</x:v>
      </x:c>
      <x:c r="B22" s="38" t="str">
        <x:v>sno2zmo, 0.05ma,cm2dcg. 0.18cm2, light 12cm0.5sun_127.0.0.1-BTS82-45-11-1-2818575314.ndax</x:v>
      </x:c>
      <x:c r="C22" s="39" t="n">
        <x:v>1</x:v>
      </x:c>
      <x:c r="D22" s="39" t="str">
        <x:v>12 cm / 0.5 sun</x:v>
      </x:c>
      <x:c r="E22" s="40" t="n">
        <x:f>'文件条件'!F11</x:f>
        <x:v>0.18</x:v>
      </x:c>
      <x:c r="F22" s="41" t="n">
        <x:v>0.8</x:v>
      </x:c>
      <x:c r="G22" s="41" t="n">
        <x:v>0.7998</x:v>
      </x:c>
      <x:c r="H22" s="42" t="n">
        <x:v>0.15467807777777778</x:v>
      </x:c>
      <x:c r="I22" s="43" t="n">
        <x:f>H22/E22</x:f>
        <x:v>0.8593226543209878</x:v>
      </x:c>
      <x:c r="J22" s="43" t="n">
        <x:f>I22</x:f>
        <x:v>0.8593226543209878</x:v>
      </x:c>
      <x:c r="K22" s="39" t="str">
        <x:v>已达截止</x:v>
      </x:c>
      <x:c r="L22" s="44" t="n">
        <x:v>46241.423101851855</x:v>
      </x:c>
      <x:c r="M22" s="39" t="n">
        <x:v>3512</x:v>
      </x:c>
    </x:row>
    <x:row r="23" ht="48" customHeight="1">
      <x:c r="A23" s="14" t="n">
        <x:v>4</x:v>
      </x:c>
      <x:c r="B23" s="13" t="str">
        <x:v>sno2zmo, 0.05ma,cm2dcg. 0.18cm2, light 12cm0.5sun_127.0.0.1-BTS82-45-11-1-2818575314.ndax</x:v>
      </x:c>
      <x:c r="C23" s="3" t="n">
        <x:v>2</x:v>
      </x:c>
      <x:c r="D23" s="3" t="str">
        <x:v>12 cm / 0.5 sun</x:v>
      </x:c>
      <x:c r="E23" s="15" t="n">
        <x:f>'文件条件'!F11</x:f>
        <x:v>0.18</x:v>
      </x:c>
      <x:c r="F23" s="17" t="n">
        <x:v>0.8</x:v>
      </x:c>
      <x:c r="G23" s="17"/>
      <x:c r="H23" s="18"/>
      <x:c r="I23" s="20" t="str">
        <x:f>""</x:f>
      </x:c>
      <x:c r="J23" s="20" t="str">
        <x:f>""</x:f>
      </x:c>
      <x:c r="K23" s="3" t="str">
        <x:v>无放电记录</x:v>
      </x:c>
      <x:c r="L23" s="19"/>
      <x:c r="M23" s="3"/>
    </x:row>
    <x:row r="24" ht="48" customHeight="1">
      <x:c r="A24" s="29" t="n">
        <x:v>5</x:v>
      </x:c>
      <x:c r="B24" s="30" t="str">
        <x:v>sno2zmo, 0.05ma,cm2dcg. 0.18cm2, light 16cm0.2sun-240045-11-1-2818575312.ndax</x:v>
      </x:c>
      <x:c r="C24" s="31" t="n">
        <x:v>1</x:v>
      </x:c>
      <x:c r="D24" s="31" t="str">
        <x:v>16 cm / 0.2 sun</x:v>
      </x:c>
      <x:c r="E24" s="32" t="n">
        <x:f>'文件条件'!F12</x:f>
        <x:v>0.18</x:v>
      </x:c>
      <x:c r="F24" s="33" t="n">
        <x:v>0.8</x:v>
      </x:c>
      <x:c r="G24" s="33" t="n">
        <x:v>0.7998</x:v>
      </x:c>
      <x:c r="H24" s="34" t="n">
        <x:v>0.15388622222222223</x:v>
      </x:c>
      <x:c r="I24" s="35" t="n">
        <x:f>H24/E24</x:f>
        <x:v>0.8549234567901235</x:v>
      </x:c>
      <x:c r="J24" s="35" t="n">
        <x:f>I24</x:f>
        <x:v>0.8549234567901235</x:v>
      </x:c>
      <x:c r="K24" s="31" t="str">
        <x:v>已达截止</x:v>
      </x:c>
      <x:c r="L24" s="36" t="n">
        <x:v>46232.454363425924</x:v>
      </x:c>
      <x:c r="M24" s="31" t="n">
        <x:v>3645</x:v>
      </x:c>
    </x:row>
    <x:row r="25" ht="48" customHeight="1">
      <x:c r="A25" s="21" t="n">
        <x:v>5</x:v>
      </x:c>
      <x:c r="B25" s="22" t="str">
        <x:v>sno2zmo, 0.05ma,cm2dcg. 0.18cm2, light 16cm0.2sun-240045-11-1-2818575312.ndax</x:v>
      </x:c>
      <x:c r="C25" s="23" t="n">
        <x:v>2</x:v>
      </x:c>
      <x:c r="D25" s="23" t="str">
        <x:v>16 cm / 0.2 sun</x:v>
      </x:c>
      <x:c r="E25" s="24" t="n">
        <x:f>'文件条件'!F12</x:f>
        <x:v>0.18</x:v>
      </x:c>
      <x:c r="F25" s="25" t="n">
        <x:v>0.8</x:v>
      </x:c>
      <x:c r="G25" s="25" t="n">
        <x:v>0.7998</x:v>
      </x:c>
      <x:c r="H25" s="26" t="n">
        <x:v>0.14433353333333335</x:v>
      </x:c>
      <x:c r="I25" s="27" t="n">
        <x:f>H25/E25</x:f>
        <x:v>0.801852962962963</x:v>
      </x:c>
      <x:c r="J25" s="27" t="n">
        <x:f>I25</x:f>
        <x:v>0.801852962962963</x:v>
      </x:c>
      <x:c r="K25" s="23" t="str">
        <x:v>已达截止</x:v>
      </x:c>
      <x:c r="L25" s="28" t="n">
        <x:v>46233.282638888886</x:v>
      </x:c>
      <x:c r="M25" s="23" t="n">
        <x:v>7226</x:v>
      </x:c>
    </x:row>
    <x:row r="26" ht="48" customHeight="1">
      <x:c r="A26" s="21" t="n">
        <x:v>5</x:v>
      </x:c>
      <x:c r="B26" s="22" t="str">
        <x:v>sno2zmo, 0.05ma,cm2dcg. 0.18cm2, light 16cm0.2sun-240045-11-1-2818575312.ndax</x:v>
      </x:c>
      <x:c r="C26" s="23" t="n">
        <x:v>3</x:v>
      </x:c>
      <x:c r="D26" s="23" t="str">
        <x:v>16 cm / 0.2 sun</x:v>
      </x:c>
      <x:c r="E26" s="24" t="n">
        <x:f>'文件条件'!F12</x:f>
        <x:v>0.18</x:v>
      </x:c>
      <x:c r="F26" s="25" t="n">
        <x:v>0.8</x:v>
      </x:c>
      <x:c r="G26" s="25" t="n">
        <x:v>1.4366</x:v>
      </x:c>
      <x:c r="H26" s="26" t="n">
        <x:v>0.04055489444444445</x:v>
      </x:c>
      <x:c r="I26" s="27" t="n">
        <x:f>H26/E26</x:f>
        <x:v>0.2253049691358025</x:v>
      </x:c>
      <x:c r="J26" s="27" t="str">
        <x:f>""</x:f>
      </x:c>
      <x:c r="K26" s="23" t="str">
        <x:v>未达截止</x:v>
      </x:c>
      <x:c r="L26" s="28" t="n">
        <x:v>46233.61748842592</x:v>
      </x:c>
      <x:c r="M26" s="23" t="n">
        <x:v>8675</x:v>
      </x:c>
    </x:row>
    <x:row r="27" ht="48" customHeight="1">
      <x:c r="A27" s="37" t="n">
        <x:v>6</x:v>
      </x:c>
      <x:c r="B27" s="38" t="str">
        <x:v>sno2zmo, 0.05ma,cm2dcg. 0.18cm2, light 16cm0.2sun_127.0.0.1-BTS82-45-11-1-2818575312 (2).ndax</x:v>
      </x:c>
      <x:c r="C27" s="39" t="n">
        <x:v>1</x:v>
      </x:c>
      <x:c r="D27" s="39" t="str">
        <x:v>16 cm / 0.2 sun</x:v>
      </x:c>
      <x:c r="E27" s="40" t="n">
        <x:f>'文件条件'!F13</x:f>
        <x:v>0.18</x:v>
      </x:c>
      <x:c r="F27" s="41" t="n">
        <x:v>0.8</x:v>
      </x:c>
      <x:c r="G27" s="41" t="n">
        <x:v>0.7998</x:v>
      </x:c>
      <x:c r="H27" s="42" t="n">
        <x:v>0.15388622222222223</x:v>
      </x:c>
      <x:c r="I27" s="43" t="n">
        <x:f>H27/E27</x:f>
        <x:v>0.8549234567901235</x:v>
      </x:c>
      <x:c r="J27" s="43" t="n">
        <x:f>I27</x:f>
        <x:v>0.8549234567901235</x:v>
      </x:c>
      <x:c r="K27" s="39" t="str">
        <x:v>已达截止</x:v>
      </x:c>
      <x:c r="L27" s="44" t="n">
        <x:v>46232.454363425924</x:v>
      </x:c>
      <x:c r="M27" s="39" t="n">
        <x:v>3645</x:v>
      </x:c>
    </x:row>
    <x:row r="28" ht="48" customHeight="1">
      <x:c r="A28" s="14" t="n">
        <x:v>6</x:v>
      </x:c>
      <x:c r="B28" s="13" t="str">
        <x:v>sno2zmo, 0.05ma,cm2dcg. 0.18cm2, light 16cm0.2sun_127.0.0.1-BTS82-45-11-1-2818575312 (2).ndax</x:v>
      </x:c>
      <x:c r="C28" s="3" t="n">
        <x:v>2</x:v>
      </x:c>
      <x:c r="D28" s="3" t="str">
        <x:v>16 cm / 0.2 sun</x:v>
      </x:c>
      <x:c r="E28" s="15" t="n">
        <x:f>'文件条件'!F13</x:f>
        <x:v>0.18</x:v>
      </x:c>
      <x:c r="F28" s="17" t="n">
        <x:v>0.8</x:v>
      </x:c>
      <x:c r="G28" s="17" t="n">
        <x:v>0.7998</x:v>
      </x:c>
      <x:c r="H28" s="18" t="n">
        <x:v>0.14433353333333335</x:v>
      </x:c>
      <x:c r="I28" s="20" t="n">
        <x:f>H28/E28</x:f>
        <x:v>0.801852962962963</x:v>
      </x:c>
      <x:c r="J28" s="20" t="n">
        <x:f>I28</x:f>
        <x:v>0.801852962962963</x:v>
      </x:c>
      <x:c r="K28" s="3" t="str">
        <x:v>已达截止</x:v>
      </x:c>
      <x:c r="L28" s="19" t="n">
        <x:v>46233.282638888886</x:v>
      </x:c>
      <x:c r="M28" s="3" t="n">
        <x:v>7226</x:v>
      </x:c>
    </x:row>
    <x:row r="29" ht="48" customHeight="1">
      <x:c r="A29" s="14" t="n">
        <x:v>6</x:v>
      </x:c>
      <x:c r="B29" s="13" t="str">
        <x:v>sno2zmo, 0.05ma,cm2dcg. 0.18cm2, light 16cm0.2sun_127.0.0.1-BTS82-45-11-1-2818575312 (2).ndax</x:v>
      </x:c>
      <x:c r="C29" s="3" t="n">
        <x:v>3</x:v>
      </x:c>
      <x:c r="D29" s="3" t="str">
        <x:v>16 cm / 0.2 sun</x:v>
      </x:c>
      <x:c r="E29" s="15" t="n">
        <x:f>'文件条件'!F13</x:f>
        <x:v>0.18</x:v>
      </x:c>
      <x:c r="F29" s="17" t="n">
        <x:v>0.8</x:v>
      </x:c>
      <x:c r="G29" s="17" t="n">
        <x:v>1.4347</x:v>
      </x:c>
      <x:c r="H29" s="18" t="n">
        <x:v>0.04110427777777778</x:v>
      </x:c>
      <x:c r="I29" s="20" t="n">
        <x:f>H29/E29</x:f>
        <x:v>0.22835709876543211</x:v>
      </x:c>
      <x:c r="J29" s="20" t="str">
        <x:f>""</x:f>
      </x:c>
      <x:c r="K29" s="3" t="str">
        <x:v>未达截止</x:v>
      </x:c>
      <x:c r="L29" s="19" t="n">
        <x:v>46233.620034722226</x:v>
      </x:c>
      <x:c r="M29" s="3" t="n">
        <x:v>8686</x:v>
      </x:c>
    </x:row>
    <x:row r="30" ht="48" customHeight="1">
      <x:c r="A30" s="29" t="n">
        <x:v>7</x:v>
      </x:c>
      <x:c r="B30" s="30" t="str">
        <x:v>sno2zmo, 0.05ma,cm2dcg. 0.18cm2, light 16cm0.2sun_127.0.0.1-BTS82-45-11-1-2818575312.ndax</x:v>
      </x:c>
      <x:c r="C30" s="31" t="n">
        <x:v>1</x:v>
      </x:c>
      <x:c r="D30" s="31" t="str">
        <x:v>16 cm / 0.2 sun</x:v>
      </x:c>
      <x:c r="E30" s="32" t="n">
        <x:f>'文件条件'!F14</x:f>
        <x:v>0.18</x:v>
      </x:c>
      <x:c r="F30" s="33" t="n">
        <x:v>0.8</x:v>
      </x:c>
      <x:c r="G30" s="33" t="n">
        <x:v>0.7998</x:v>
      </x:c>
      <x:c r="H30" s="34" t="n">
        <x:v>0.15388622222222223</x:v>
      </x:c>
      <x:c r="I30" s="35" t="n">
        <x:f>H30/E30</x:f>
        <x:v>0.8549234567901235</x:v>
      </x:c>
      <x:c r="J30" s="35" t="n">
        <x:f>I30</x:f>
        <x:v>0.8549234567901235</x:v>
      </x:c>
      <x:c r="K30" s="31" t="str">
        <x:v>已达截止</x:v>
      </x:c>
      <x:c r="L30" s="36" t="n">
        <x:v>46232.454363425924</x:v>
      </x:c>
      <x:c r="M30" s="31" t="n">
        <x:v>3645</x:v>
      </x:c>
    </x:row>
    <x:row r="31" ht="48" customHeight="1">
      <x:c r="A31" s="21" t="n">
        <x:v>7</x:v>
      </x:c>
      <x:c r="B31" s="22" t="str">
        <x:v>sno2zmo, 0.05ma,cm2dcg. 0.18cm2, light 16cm0.2sun_127.0.0.1-BTS82-45-11-1-2818575312.ndax</x:v>
      </x:c>
      <x:c r="C31" s="23" t="n">
        <x:v>2</x:v>
      </x:c>
      <x:c r="D31" s="23" t="str">
        <x:v>16 cm / 0.2 sun</x:v>
      </x:c>
      <x:c r="E31" s="24" t="n">
        <x:f>'文件条件'!F14</x:f>
        <x:v>0.18</x:v>
      </x:c>
      <x:c r="F31" s="25" t="n">
        <x:v>0.8</x:v>
      </x:c>
      <x:c r="G31" s="25" t="n">
        <x:v>0.7998</x:v>
      </x:c>
      <x:c r="H31" s="26" t="n">
        <x:v>0.14433353333333335</x:v>
      </x:c>
      <x:c r="I31" s="27" t="n">
        <x:f>H31/E31</x:f>
        <x:v>0.801852962962963</x:v>
      </x:c>
      <x:c r="J31" s="27" t="n">
        <x:f>I31</x:f>
        <x:v>0.801852962962963</x:v>
      </x:c>
      <x:c r="K31" s="23" t="str">
        <x:v>已达截止</x:v>
      </x:c>
      <x:c r="L31" s="28" t="n">
        <x:v>46233.282638888886</x:v>
      </x:c>
      <x:c r="M31" s="23" t="n">
        <x:v>7226</x:v>
      </x:c>
    </x:row>
    <x:row r="32" ht="48" customHeight="1">
      <x:c r="A32" s="21" t="n">
        <x:v>7</x:v>
      </x:c>
      <x:c r="B32" s="22" t="str">
        <x:v>sno2zmo, 0.05ma,cm2dcg. 0.18cm2, light 16cm0.2sun_127.0.0.1-BTS82-45-11-1-2818575312.ndax</x:v>
      </x:c>
      <x:c r="C32" s="23" t="n">
        <x:v>3</x:v>
      </x:c>
      <x:c r="D32" s="23" t="str">
        <x:v>16 cm / 0.2 sun</x:v>
      </x:c>
      <x:c r="E32" s="24" t="n">
        <x:f>'文件条件'!F14</x:f>
        <x:v>0.18</x:v>
      </x:c>
      <x:c r="F32" s="25" t="n">
        <x:v>0.8</x:v>
      </x:c>
      <x:c r="G32" s="25" t="n">
        <x:v>1.4347</x:v>
      </x:c>
      <x:c r="H32" s="26" t="n">
        <x:v>0.04110427777777778</x:v>
      </x:c>
      <x:c r="I32" s="27" t="n">
        <x:f>H32/E32</x:f>
        <x:v>0.22835709876543211</x:v>
      </x:c>
      <x:c r="J32" s="27" t="str">
        <x:f>""</x:f>
      </x:c>
      <x:c r="K32" s="23" t="str">
        <x:v>未达截止</x:v>
      </x:c>
      <x:c r="L32" s="28" t="n">
        <x:v>46233.620034722226</x:v>
      </x:c>
      <x:c r="M32" s="23" t="n">
        <x:v>8686</x:v>
      </x:c>
    </x:row>
    <x:row r="33" ht="48" customHeight="1">
      <x:c r="A33" s="37" t="n">
        <x:v>8</x:v>
      </x:c>
      <x:c r="B33" s="38" t="str">
        <x:v>sno2zmo, 0.05ma,cm2dcg. DARK _27.0.0.1-BTS82-45-11-1-2818575313.ndax</x:v>
      </x:c>
      <x:c r="C33" s="39" t="n">
        <x:v>1</x:v>
      </x:c>
      <x:c r="D33" s="39" t="str">
        <x:v>DARK</x:v>
      </x:c>
      <x:c r="E33" s="40" t="n">
        <x:f>'文件条件'!F15</x:f>
        <x:v>0.18</x:v>
      </x:c>
      <x:c r="F33" s="41" t="n">
        <x:v>0.8</x:v>
      </x:c>
      <x:c r="G33" s="41" t="n">
        <x:v>0.7998</x:v>
      </x:c>
      <x:c r="H33" s="42" t="n">
        <x:v>0.16304872222222222</x:v>
      </x:c>
      <x:c r="I33" s="43" t="n">
        <x:f>H33/E33</x:f>
        <x:v>0.9058262345679012</x:v>
      </x:c>
      <x:c r="J33" s="43" t="n">
        <x:f>I33</x:f>
        <x:v>0.9058262345679012</x:v>
      </x:c>
      <x:c r="K33" s="39" t="str">
        <x:v>已达截止</x:v>
      </x:c>
      <x:c r="L33" s="44" t="n">
        <x:v>46235.39372685185</x:v>
      </x:c>
      <x:c r="M33" s="39" t="n">
        <x:v>3476</x:v>
      </x:c>
    </x:row>
    <x:row r="34" ht="48" customHeight="1">
      <x:c r="A34" s="14" t="n">
        <x:v>8</x:v>
      </x:c>
      <x:c r="B34" s="13" t="str">
        <x:v>sno2zmo, 0.05ma,cm2dcg. DARK _27.0.0.1-BTS82-45-11-1-2818575313.ndax</x:v>
      </x:c>
      <x:c r="C34" s="3" t="n">
        <x:v>2</x:v>
      </x:c>
      <x:c r="D34" s="3" t="str">
        <x:v>DARK</x:v>
      </x:c>
      <x:c r="E34" s="15" t="n">
        <x:f>'文件条件'!F15</x:f>
        <x:v>0.18</x:v>
      </x:c>
      <x:c r="F34" s="17" t="n">
        <x:v>0.8</x:v>
      </x:c>
      <x:c r="G34" s="17" t="n">
        <x:v>0.7998</x:v>
      </x:c>
      <x:c r="H34" s="18" t="n">
        <x:v>0.12227637777777779</x:v>
      </x:c>
      <x:c r="I34" s="20" t="n">
        <x:f>H34/E34</x:f>
        <x:v>0.6793132098765433</x:v>
      </x:c>
      <x:c r="J34" s="20" t="n">
        <x:f>I34</x:f>
        <x:v>0.6793132098765433</x:v>
      </x:c>
      <x:c r="K34" s="3" t="str">
        <x:v>已达截止</x:v>
      </x:c>
      <x:c r="L34" s="19" t="n">
        <x:v>46236.11755787037</x:v>
      </x:c>
      <x:c r="M34" s="3" t="n">
        <x:v>6606</x:v>
      </x:c>
    </x:row>
    <x:row r="35" ht="48" customHeight="1">
      <x:c r="A35" s="14" t="n">
        <x:v>8</x:v>
      </x:c>
      <x:c r="B35" s="13" t="str">
        <x:v>sno2zmo, 0.05ma,cm2dcg. DARK _27.0.0.1-BTS82-45-11-1-2818575313.ndax</x:v>
      </x:c>
      <x:c r="C35" s="3" t="n">
        <x:v>3</x:v>
      </x:c>
      <x:c r="D35" s="3" t="str">
        <x:v>DARK</x:v>
      </x:c>
      <x:c r="E35" s="15" t="n">
        <x:f>'文件条件'!F15</x:f>
        <x:v>0.18</x:v>
      </x:c>
      <x:c r="F35" s="17" t="n">
        <x:v>0.8</x:v>
      </x:c>
      <x:c r="G35" s="17" t="n">
        <x:v>0.7998</x:v>
      </x:c>
      <x:c r="H35" s="18" t="n">
        <x:v>0.11190053333333334</x:v>
      </x:c>
      <x:c r="I35" s="20" t="n">
        <x:f>H35/E35</x:f>
        <x:v>0.6216696296296297</x:v>
      </x:c>
      <x:c r="J35" s="20" t="n">
        <x:f>I35</x:f>
        <x:v>0.6216696296296297</x:v>
      </x:c>
      <x:c r="K35" s="3" t="str">
        <x:v>已达截止</x:v>
      </x:c>
      <x:c r="L35" s="19" t="n">
        <x:v>46236.756064814814</x:v>
      </x:c>
      <x:c r="M35" s="3" t="n">
        <x:v>9367</x:v>
      </x:c>
    </x:row>
    <x:row r="36" ht="48" customHeight="1">
      <x:c r="A36" s="14" t="n">
        <x:v>8</x:v>
      </x:c>
      <x:c r="B36" s="13" t="str">
        <x:v>sno2zmo, 0.05ma,cm2dcg. DARK _27.0.0.1-BTS82-45-11-1-2818575313.ndax</x:v>
      </x:c>
      <x:c r="C36" s="3" t="n">
        <x:v>4</x:v>
      </x:c>
      <x:c r="D36" s="3" t="str">
        <x:v>DARK</x:v>
      </x:c>
      <x:c r="E36" s="15" t="n">
        <x:f>'文件条件'!F15</x:f>
        <x:v>0.18</x:v>
      </x:c>
      <x:c r="F36" s="17" t="n">
        <x:v>0.8</x:v>
      </x:c>
      <x:c r="G36" s="17" t="n">
        <x:v>0.7998</x:v>
      </x:c>
      <x:c r="H36" s="18" t="n">
        <x:v>0.10620683333333333</x:v>
      </x:c>
      <x:c r="I36" s="20" t="n">
        <x:f>H36/E36</x:f>
        <x:v>0.590037962962963</x:v>
      </x:c>
      <x:c r="J36" s="20" t="n">
        <x:f>I36</x:f>
        <x:v>0.590037962962963</x:v>
      </x:c>
      <x:c r="K36" s="3" t="str">
        <x:v>已达截止</x:v>
      </x:c>
      <x:c r="L36" s="19" t="n">
        <x:v>46237.358564814815</x:v>
      </x:c>
      <x:c r="M36" s="3" t="n">
        <x:v>11973</x:v>
      </x:c>
    </x:row>
    <x:row r="37" ht="48" customHeight="1">
      <x:c r="A37" s="14" t="n">
        <x:v>8</x:v>
      </x:c>
      <x:c r="B37" s="13" t="str">
        <x:v>sno2zmo, 0.05ma,cm2dcg. DARK _27.0.0.1-BTS82-45-11-1-2818575313.ndax</x:v>
      </x:c>
      <x:c r="C37" s="3" t="n">
        <x:v>5</x:v>
      </x:c>
      <x:c r="D37" s="3" t="str">
        <x:v>DARK</x:v>
      </x:c>
      <x:c r="E37" s="15" t="n">
        <x:f>'文件条件'!F15</x:f>
        <x:v>0.18</x:v>
      </x:c>
      <x:c r="F37" s="17" t="n">
        <x:v>0.8</x:v>
      </x:c>
      <x:c r="G37" s="17" t="n">
        <x:v>0.7998</x:v>
      </x:c>
      <x:c r="H37" s="18" t="n">
        <x:v>0.10215594444444445</x:v>
      </x:c>
      <x:c r="I37" s="20" t="n">
        <x:f>H37/E37</x:f>
        <x:v>0.5675330246913581</x:v>
      </x:c>
      <x:c r="J37" s="20" t="n">
        <x:f>I37</x:f>
        <x:v>0.5675330246913581</x:v>
      </x:c>
      <x:c r="K37" s="3" t="str">
        <x:v>已达截止</x:v>
      </x:c>
      <x:c r="L37" s="19" t="n">
        <x:v>46237.937256944446</x:v>
      </x:c>
      <x:c r="M37" s="3" t="n">
        <x:v>14476</x:v>
      </x:c>
    </x:row>
    <x:row r="38" ht="48" customHeight="1">
      <x:c r="A38" s="14" t="n">
        <x:v>8</x:v>
      </x:c>
      <x:c r="B38" s="13" t="str">
        <x:v>sno2zmo, 0.05ma,cm2dcg. DARK _27.0.0.1-BTS82-45-11-1-2818575313.ndax</x:v>
      </x:c>
      <x:c r="C38" s="3" t="n">
        <x:v>6</x:v>
      </x:c>
      <x:c r="D38" s="3" t="str">
        <x:v>DARK</x:v>
      </x:c>
      <x:c r="E38" s="15" t="n">
        <x:f>'文件条件'!F15</x:f>
        <x:v>0.18</x:v>
      </x:c>
      <x:c r="F38" s="17" t="n">
        <x:v>0.8</x:v>
      </x:c>
      <x:c r="G38" s="17" t="n">
        <x:v>0.7998</x:v>
      </x:c>
      <x:c r="H38" s="18" t="n">
        <x:v>0.10043571111111113</x:v>
      </x:c>
      <x:c r="I38" s="20" t="n">
        <x:f>H38/E38</x:f>
        <x:v>0.5579761728395063</x:v>
      </x:c>
      <x:c r="J38" s="20" t="n">
        <x:f>I38</x:f>
        <x:v>0.5579761728395063</x:v>
      </x:c>
      <x:c r="K38" s="3" t="str">
        <x:v>已达截止</x:v>
      </x:c>
      <x:c r="L38" s="19" t="n">
        <x:v>46238.50407407407</x:v>
      </x:c>
      <x:c r="M38" s="3" t="n">
        <x:v>16927</x:v>
      </x:c>
    </x:row>
    <x:row r="39" ht="48" customHeight="1">
      <x:c r="A39" s="14" t="n">
        <x:v>8</x:v>
      </x:c>
      <x:c r="B39" s="13" t="str">
        <x:v>sno2zmo, 0.05ma,cm2dcg. DARK _27.0.0.1-BTS82-45-11-1-2818575313.ndax</x:v>
      </x:c>
      <x:c r="C39" s="3" t="n">
        <x:v>7</x:v>
      </x:c>
      <x:c r="D39" s="3" t="str">
        <x:v>DARK</x:v>
      </x:c>
      <x:c r="E39" s="15" t="n">
        <x:f>'文件条件'!F15</x:f>
        <x:v>0.18</x:v>
      </x:c>
      <x:c r="F39" s="17" t="n">
        <x:v>0.8</x:v>
      </x:c>
      <x:c r="G39" s="17" t="n">
        <x:v>0.7998</x:v>
      </x:c>
      <x:c r="H39" s="18" t="n">
        <x:v>0.09946356666666667</x:v>
      </x:c>
      <x:c r="I39" s="20" t="n">
        <x:f>H39/E39</x:f>
        <x:v>0.5525753703703704</x:v>
      </x:c>
      <x:c r="J39" s="20" t="n">
        <x:f>I39</x:f>
        <x:v>0.5525753703703704</x:v>
      </x:c>
      <x:c r="K39" s="3" t="str">
        <x:v>已达截止</x:v>
      </x:c>
      <x:c r="L39" s="19" t="n">
        <x:v>46239.06537037037</x:v>
      </x:c>
      <x:c r="M39" s="3" t="n">
        <x:v>19355</x:v>
      </x:c>
    </x:row>
    <x:row r="40" ht="48" customHeight="1">
      <x:c r="A40" s="14" t="n">
        <x:v>8</x:v>
      </x:c>
      <x:c r="B40" s="13" t="str">
        <x:v>sno2zmo, 0.05ma,cm2dcg. DARK _27.0.0.1-BTS82-45-11-1-2818575313.ndax</x:v>
      </x:c>
      <x:c r="C40" s="3" t="n">
        <x:v>8</x:v>
      </x:c>
      <x:c r="D40" s="3" t="str">
        <x:v>DARK</x:v>
      </x:c>
      <x:c r="E40" s="15" t="n">
        <x:f>'文件条件'!F15</x:f>
        <x:v>0.18</x:v>
      </x:c>
      <x:c r="F40" s="17" t="n">
        <x:v>0.8</x:v>
      </x:c>
      <x:c r="G40" s="17" t="n">
        <x:v>0.7998</x:v>
      </x:c>
      <x:c r="H40" s="18" t="n">
        <x:v>0.09679617777777778</x:v>
      </x:c>
      <x:c r="I40" s="20" t="n">
        <x:f>H40/E40</x:f>
        <x:v>0.5377565432098766</x:v>
      </x:c>
      <x:c r="J40" s="20" t="n">
        <x:f>I40</x:f>
        <x:v>0.5377565432098766</x:v>
      </x:c>
      <x:c r="K40" s="3" t="str">
        <x:v>已达截止</x:v>
      </x:c>
      <x:c r="L40" s="19" t="n">
        <x:v>46239.61221064815</x:v>
      </x:c>
      <x:c r="M40" s="3" t="n">
        <x:v>21721</x:v>
      </x:c>
    </x:row>
    <x:row r="41" ht="48" customHeight="1">
      <x:c r="A41" s="14" t="n">
        <x:v>8</x:v>
      </x:c>
      <x:c r="B41" s="13" t="str">
        <x:v>sno2zmo, 0.05ma,cm2dcg. DARK _27.0.0.1-BTS82-45-11-1-2818575313.ndax</x:v>
      </x:c>
      <x:c r="C41" s="3" t="n">
        <x:v>9</x:v>
      </x:c>
      <x:c r="D41" s="3" t="str">
        <x:v>DARK</x:v>
      </x:c>
      <x:c r="E41" s="15" t="n">
        <x:f>'文件条件'!F15</x:f>
        <x:v>0.18</x:v>
      </x:c>
      <x:c r="F41" s="17" t="n">
        <x:v>0.8</x:v>
      </x:c>
      <x:c r="G41" s="17" t="n">
        <x:v>0.7998</x:v>
      </x:c>
      <x:c r="H41" s="18" t="n">
        <x:v>0.09560345555555556</x:v>
      </x:c>
      <x:c r="I41" s="20" t="n">
        <x:f>H41/E41</x:f>
        <x:v>0.5311303086419754</x:v>
      </x:c>
      <x:c r="J41" s="20" t="n">
        <x:f>I41</x:f>
        <x:v>0.5311303086419754</x:v>
      </x:c>
      <x:c r="K41" s="3" t="str">
        <x:v>已达截止</x:v>
      </x:c>
      <x:c r="L41" s="19" t="n">
        <x:v>46240.15167824074</x:v>
      </x:c>
      <x:c r="M41" s="3" t="n">
        <x:v>24055</x:v>
      </x:c>
    </x:row>
    <x:row r="42" ht="48" customHeight="1">
      <x:c r="A42" s="14" t="n">
        <x:v>8</x:v>
      </x:c>
      <x:c r="B42" s="13" t="str">
        <x:v>sno2zmo, 0.05ma,cm2dcg. DARK _27.0.0.1-BTS82-45-11-1-2818575313.ndax</x:v>
      </x:c>
      <x:c r="C42" s="3" t="n">
        <x:v>10</x:v>
      </x:c>
      <x:c r="D42" s="3" t="str">
        <x:v>DARK</x:v>
      </x:c>
      <x:c r="E42" s="15" t="n">
        <x:f>'文件条件'!F15</x:f>
        <x:v>0.18</x:v>
      </x:c>
      <x:c r="F42" s="17" t="n">
        <x:v>0.8</x:v>
      </x:c>
      <x:c r="G42" s="17" t="n">
        <x:v>1.0856</x:v>
      </x:c>
      <x:c r="H42" s="18" t="n">
        <x:v>0.07851052777777778</x:v>
      </x:c>
      <x:c r="I42" s="20" t="n">
        <x:f>H42/E42</x:f>
        <x:v>0.43616959876543215</x:v>
      </x:c>
      <x:c r="J42" s="20" t="str">
        <x:f>""</x:f>
      </x:c>
      <x:c r="K42" s="3" t="str">
        <x:v>未达截止</x:v>
      </x:c>
      <x:c r="L42" s="19" t="n">
        <x:v>46240.6102662037</x:v>
      </x:c>
      <x:c r="M42" s="3" t="n">
        <x:v>26039</x:v>
      </x:c>
    </x:row>
    <x:row r="43" ht="48" customHeight="1">
      <x:c r="A43" s="29" t="n">
        <x:v>9</x:v>
      </x:c>
      <x:c r="B43" s="30" t="str">
        <x:v>zmo, 0.05ma,cm2dcg. 0.18cm2, 1st dark +2nd light 8cm1sun_127.0.0.1-BTS82-45-2-1-2818575312.ndax</x:v>
      </x:c>
      <x:c r="C43" s="31" t="n">
        <x:v>1</x:v>
      </x:c>
      <x:c r="D43" s="31" t="str">
        <x:v>DARK</x:v>
      </x:c>
      <x:c r="E43" s="32" t="n">
        <x:f>'文件条件'!F16</x:f>
        <x:v>0.18</x:v>
      </x:c>
      <x:c r="F43" s="33" t="n">
        <x:v>0.8</x:v>
      </x:c>
      <x:c r="G43" s="33" t="n">
        <x:v>0.7998</x:v>
      </x:c>
      <x:c r="H43" s="34" t="n">
        <x:v>0.18680231111111112</x:v>
      </x:c>
      <x:c r="I43" s="35" t="n">
        <x:f>H43/E43</x:f>
        <x:v>1.0377906172839506</x:v>
      </x:c>
      <x:c r="J43" s="35" t="n">
        <x:f>I43</x:f>
        <x:v>1.0377906172839506</x:v>
      </x:c>
      <x:c r="K43" s="31" t="str">
        <x:v>已达截止</x:v>
      </x:c>
      <x:c r="L43" s="36" t="n">
        <x:v>46232.88195601852</x:v>
      </x:c>
      <x:c r="M43" s="31" t="n">
        <x:v>5491</x:v>
      </x:c>
    </x:row>
    <x:row r="44" ht="48" customHeight="1">
      <x:c r="A44" s="21" t="n">
        <x:v>9</x:v>
      </x:c>
      <x:c r="B44" s="22" t="str">
        <x:v>zmo, 0.05ma,cm2dcg. 0.18cm2, 1st dark +2nd light 8cm1sun_127.0.0.1-BTS82-45-2-1-2818575312.ndax</x:v>
      </x:c>
      <x:c r="C44" s="23" t="n">
        <x:v>2</x:v>
      </x:c>
      <x:c r="D44" s="23" t="str">
        <x:v>8 cm / 1 sun</x:v>
      </x:c>
      <x:c r="E44" s="24" t="n">
        <x:f>'文件条件'!F16</x:f>
        <x:v>0.18</x:v>
      </x:c>
      <x:c r="F44" s="25" t="n">
        <x:v>0.8</x:v>
      </x:c>
      <x:c r="G44" s="25" t="n">
        <x:v>0.7998</x:v>
      </x:c>
      <x:c r="H44" s="26" t="n">
        <x:v>0.19452080000000002</x:v>
      </x:c>
      <x:c r="I44" s="27" t="n">
        <x:f>H44/E44</x:f>
        <x:v>1.0806711111111114</x:v>
      </x:c>
      <x:c r="J44" s="27" t="n">
        <x:f>I44</x:f>
        <x:v>1.0806711111111114</x:v>
      </x:c>
      <x:c r="K44" s="23" t="str">
        <x:v>已达截止</x:v>
      </x:c>
      <x:c r="L44" s="28" t="n">
        <x:v>46234.15390046296</x:v>
      </x:c>
      <x:c r="M44" s="23" t="n">
        <x:v>10989</x:v>
      </x:c>
    </x:row>
    <x:row r="45" ht="48" customHeight="1">
      <x:c r="A45" s="21" t="n">
        <x:v>9</x:v>
      </x:c>
      <x:c r="B45" s="22" t="str">
        <x:v>zmo, 0.05ma,cm2dcg. 0.18cm2, 1st dark +2nd light 8cm1sun_127.0.0.1-BTS82-45-2-1-2818575312.ndax</x:v>
      </x:c>
      <x:c r="C45" s="23" t="n">
        <x:v>3</x:v>
      </x:c>
      <x:c r="D45" s="23" t="str">
        <x:v>未标注（文件名只说明首、第二圈）</x:v>
      </x:c>
      <x:c r="E45" s="24" t="n">
        <x:f>'文件条件'!F16</x:f>
        <x:v>0.18</x:v>
      </x:c>
      <x:c r="F45" s="25" t="n">
        <x:v>0.8</x:v>
      </x:c>
      <x:c r="G45" s="25" t="n">
        <x:v>1.4388</x:v>
      </x:c>
      <x:c r="H45" s="26" t="n">
        <x:v>0.049180266666666674</x:v>
      </x:c>
      <x:c r="I45" s="27" t="n">
        <x:f>H45/E45</x:f>
        <x:v>0.27322370370370375</x:v>
      </x:c>
      <x:c r="J45" s="27" t="str">
        <x:f>""</x:f>
      </x:c>
      <x:c r="K45" s="23" t="str">
        <x:v>未达截止</x:v>
      </x:c>
      <x:c r="L45" s="28" t="n">
        <x:v>46234.5887037037</x:v>
      </x:c>
      <x:c r="M45" s="23" t="n">
        <x:v>12870</x:v>
      </x:c>
    </x:row>
    <x:row r="46" ht="48" customHeight="1">
      <x:c r="A46" s="37" t="n">
        <x:v>10</x:v>
      </x:c>
      <x:c r="B46" s="38" t="str">
        <x:v>zmo, 0.05ma,cm2dcg. 0.18cm2, light 12cm0.5sun-240045-2-1-2818575313.ndax</x:v>
      </x:c>
      <x:c r="C46" s="39" t="n">
        <x:v>1</x:v>
      </x:c>
      <x:c r="D46" s="39" t="str">
        <x:v>12 cm / 0.5 sun</x:v>
      </x:c>
      <x:c r="E46" s="40" t="n">
        <x:f>'文件条件'!F17</x:f>
        <x:v>0.18</x:v>
      </x:c>
      <x:c r="F46" s="41" t="n">
        <x:v>0.8</x:v>
      </x:c>
      <x:c r="G46" s="41" t="n">
        <x:v>0.7998</x:v>
      </x:c>
      <x:c r="H46" s="42" t="n">
        <x:v>0.16244781111111112</x:v>
      </x:c>
      <x:c r="I46" s="43" t="n">
        <x:f>H46/E46</x:f>
        <x:v>0.902487839506173</x:v>
      </x:c>
      <x:c r="J46" s="43" t="n">
        <x:f>I46</x:f>
        <x:v>0.902487839506173</x:v>
      </x:c>
      <x:c r="K46" s="39" t="str">
        <x:v>已达截止</x:v>
      </x:c>
      <x:c r="L46" s="44" t="n">
        <x:v>46235.55474537037</x:v>
      </x:c>
      <x:c r="M46" s="39" t="n">
        <x:v>4173</x:v>
      </x:c>
    </x:row>
    <x:row r="47" ht="48" customHeight="1">
      <x:c r="A47" s="14" t="n">
        <x:v>10</x:v>
      </x:c>
      <x:c r="B47" s="13" t="str">
        <x:v>zmo, 0.05ma,cm2dcg. 0.18cm2, light 12cm0.5sun-240045-2-1-2818575313.ndax</x:v>
      </x:c>
      <x:c r="C47" s="3" t="n">
        <x:v>2</x:v>
      </x:c>
      <x:c r="D47" s="3" t="str">
        <x:v>12 cm / 0.5 sun</x:v>
      </x:c>
      <x:c r="E47" s="15" t="n">
        <x:f>'文件条件'!F17</x:f>
        <x:v>0.18</x:v>
      </x:c>
      <x:c r="F47" s="17" t="n">
        <x:v>0.8</x:v>
      </x:c>
      <x:c r="G47" s="17" t="n">
        <x:v>0.7998</x:v>
      </x:c>
      <x:c r="H47" s="18" t="n">
        <x:v>0.14618311111111112</x:v>
      </x:c>
      <x:c r="I47" s="20" t="n">
        <x:f>H47/E47</x:f>
        <x:v>0.8121283950617285</x:v>
      </x:c>
      <x:c r="J47" s="20" t="n">
        <x:f>I47</x:f>
        <x:v>0.8121283950617285</x:v>
      </x:c>
      <x:c r="K47" s="3" t="str">
        <x:v>已达截止</x:v>
      </x:c>
      <x:c r="L47" s="19" t="n">
        <x:v>46236.529444444444</x:v>
      </x:c>
      <x:c r="M47" s="3" t="n">
        <x:v>8387</x:v>
      </x:c>
    </x:row>
    <x:row r="48" ht="48" customHeight="1">
      <x:c r="A48" s="14" t="n">
        <x:v>10</x:v>
      </x:c>
      <x:c r="B48" s="13" t="str">
        <x:v>zmo, 0.05ma,cm2dcg. 0.18cm2, light 12cm0.5sun-240045-2-1-2818575313.ndax</x:v>
      </x:c>
      <x:c r="C48" s="3" t="n">
        <x:v>3</x:v>
      </x:c>
      <x:c r="D48" s="3" t="str">
        <x:v>12 cm / 0.5 sun</x:v>
      </x:c>
      <x:c r="E48" s="15" t="n">
        <x:f>'文件条件'!F17</x:f>
        <x:v>0.18</x:v>
      </x:c>
      <x:c r="F48" s="17" t="n">
        <x:v>0.8</x:v>
      </x:c>
      <x:c r="G48" s="17" t="n">
        <x:v>0.7998</x:v>
      </x:c>
      <x:c r="H48" s="18" t="n">
        <x:v>0.1325580888888889</x:v>
      </x:c>
      <x:c r="I48" s="20" t="n">
        <x:f>H48/E48</x:f>
        <x:v>0.7364338271604939</x:v>
      </x:c>
      <x:c r="J48" s="20" t="n">
        <x:f>I48</x:f>
        <x:v>0.7364338271604939</x:v>
      </x:c>
      <x:c r="K48" s="3" t="str">
        <x:v>已达截止</x:v>
      </x:c>
      <x:c r="L48" s="19" t="n">
        <x:v>46237.408587962964</x:v>
      </x:c>
      <x:c r="M48" s="3" t="n">
        <x:v>12188</x:v>
      </x:c>
    </x:row>
    <x:row r="49" ht="48" customHeight="1">
      <x:c r="A49" s="14" t="n">
        <x:v>10</x:v>
      </x:c>
      <x:c r="B49" s="13" t="str">
        <x:v>zmo, 0.05ma,cm2dcg. 0.18cm2, light 12cm0.5sun-240045-2-1-2818575313.ndax</x:v>
      </x:c>
      <x:c r="C49" s="3" t="n">
        <x:v>4</x:v>
      </x:c>
      <x:c r="D49" s="3" t="str">
        <x:v>12 cm / 0.5 sun</x:v>
      </x:c>
      <x:c r="E49" s="15" t="n">
        <x:f>'文件条件'!F17</x:f>
        <x:v>0.18</x:v>
      </x:c>
      <x:c r="F49" s="17" t="n">
        <x:v>0.8</x:v>
      </x:c>
      <x:c r="G49" s="17" t="n">
        <x:v>0.7998</x:v>
      </x:c>
      <x:c r="H49" s="18" t="n">
        <x:v>0.12297211111111112</x:v>
      </x:c>
      <x:c r="I49" s="20" t="n">
        <x:f>H49/E49</x:f>
        <x:v>0.6831783950617284</x:v>
      </x:c>
      <x:c r="J49" s="20" t="n">
        <x:f>I49</x:f>
        <x:v>0.6831783950617284</x:v>
      </x:c>
      <x:c r="K49" s="3" t="str">
        <x:v>已达截止</x:v>
      </x:c>
      <x:c r="L49" s="19" t="n">
        <x:v>46238.22258101852</x:v>
      </x:c>
      <x:c r="M49" s="3" t="n">
        <x:v>15708</x:v>
      </x:c>
    </x:row>
    <x:row r="50" ht="48" customHeight="1">
      <x:c r="A50" s="14" t="n">
        <x:v>10</x:v>
      </x:c>
      <x:c r="B50" s="13" t="str">
        <x:v>zmo, 0.05ma,cm2dcg. 0.18cm2, light 12cm0.5sun-240045-2-1-2818575313.ndax</x:v>
      </x:c>
      <x:c r="C50" s="3" t="n">
        <x:v>5</x:v>
      </x:c>
      <x:c r="D50" s="3" t="str">
        <x:v>12 cm / 0.5 sun</x:v>
      </x:c>
      <x:c r="E50" s="15" t="n">
        <x:f>'文件条件'!F17</x:f>
        <x:v>0.18</x:v>
      </x:c>
      <x:c r="F50" s="17" t="n">
        <x:v>0.8</x:v>
      </x:c>
      <x:c r="G50" s="17" t="n">
        <x:v>0.7998</x:v>
      </x:c>
      <x:c r="H50" s="18" t="n">
        <x:v>0.10998505555555556</x:v>
      </x:c>
      <x:c r="I50" s="20" t="n">
        <x:f>H50/E50</x:f>
        <x:v>0.6110280864197531</x:v>
      </x:c>
      <x:c r="J50" s="20" t="n">
        <x:f>I50</x:f>
        <x:v>0.6110280864197531</x:v>
      </x:c>
      <x:c r="K50" s="3" t="str">
        <x:v>已达截止</x:v>
      </x:c>
      <x:c r="L50" s="19" t="n">
        <x:v>46238.94930555556</x:v>
      </x:c>
      <x:c r="M50" s="3" t="n">
        <x:v>18851</x:v>
      </x:c>
    </x:row>
    <x:row r="51" ht="48" customHeight="1">
      <x:c r="A51" s="14" t="n">
        <x:v>10</x:v>
      </x:c>
      <x:c r="B51" s="13" t="str">
        <x:v>zmo, 0.05ma,cm2dcg. 0.18cm2, light 12cm0.5sun-240045-2-1-2818575313.ndax</x:v>
      </x:c>
      <x:c r="C51" s="3" t="n">
        <x:v>6</x:v>
      </x:c>
      <x:c r="D51" s="3" t="str">
        <x:v>12 cm / 0.5 sun</x:v>
      </x:c>
      <x:c r="E51" s="15" t="n">
        <x:f>'文件条件'!F17</x:f>
        <x:v>0.18</x:v>
      </x:c>
      <x:c r="F51" s="17" t="n">
        <x:v>0.8</x:v>
      </x:c>
      <x:c r="G51" s="17" t="n">
        <x:v>0.7998</x:v>
      </x:c>
      <x:c r="H51" s="18" t="n">
        <x:v>0.1044904888888889</x:v>
      </x:c>
      <x:c r="I51" s="20" t="n">
        <x:f>H51/E51</x:f>
        <x:v>0.5805027160493827</x:v>
      </x:c>
      <x:c r="J51" s="20" t="n">
        <x:f>I51</x:f>
        <x:v>0.5805027160493827</x:v>
      </x:c>
      <x:c r="K51" s="3" t="str">
        <x:v>已达截止</x:v>
      </x:c>
      <x:c r="L51" s="19" t="n">
        <x:v>46239.638865740744</x:v>
      </x:c>
      <x:c r="M51" s="3" t="n">
        <x:v>21832</x:v>
      </x:c>
    </x:row>
    <x:row r="52" ht="48" customHeight="1">
      <x:c r="A52" s="14" t="n">
        <x:v>10</x:v>
      </x:c>
      <x:c r="B52" s="13" t="str">
        <x:v>zmo, 0.05ma,cm2dcg. 0.18cm2, light 12cm0.5sun-240045-2-1-2818575313.ndax</x:v>
      </x:c>
      <x:c r="C52" s="3" t="n">
        <x:v>7</x:v>
      </x:c>
      <x:c r="D52" s="3" t="str">
        <x:v>12 cm / 0.5 sun</x:v>
      </x:c>
      <x:c r="E52" s="15" t="n">
        <x:f>'文件条件'!F17</x:f>
        <x:v>0.18</x:v>
      </x:c>
      <x:c r="F52" s="17" t="n">
        <x:v>0.8</x:v>
      </x:c>
      <x:c r="G52" s="17" t="n">
        <x:v>0.7998</x:v>
      </x:c>
      <x:c r="H52" s="18" t="n">
        <x:v>0.10062567777777778</x:v>
      </x:c>
      <x:c r="I52" s="20" t="n">
        <x:f>H52/E52</x:f>
        <x:v>0.5590315432098766</x:v>
      </x:c>
      <x:c r="J52" s="20" t="n">
        <x:f>I52</x:f>
        <x:v>0.5590315432098766</x:v>
      </x:c>
      <x:c r="K52" s="3" t="str">
        <x:v>已达截止</x:v>
      </x:c>
      <x:c r="L52" s="19" t="n">
        <x:v>46240.30399305555</x:v>
      </x:c>
      <x:c r="M52" s="3" t="n">
        <x:v>24708</x:v>
      </x:c>
    </x:row>
    <x:row r="53" ht="48" customHeight="1">
      <x:c r="A53" s="14" t="n">
        <x:v>10</x:v>
      </x:c>
      <x:c r="B53" s="13" t="str">
        <x:v>zmo, 0.05ma,cm2dcg. 0.18cm2, light 12cm0.5sun-240045-2-1-2818575313.ndax</x:v>
      </x:c>
      <x:c r="C53" s="3" t="n">
        <x:v>8</x:v>
      </x:c>
      <x:c r="D53" s="3" t="str">
        <x:v>12 cm / 0.5 sun</x:v>
      </x:c>
      <x:c r="E53" s="15" t="n">
        <x:f>'文件条件'!F17</x:f>
        <x:v>0.18</x:v>
      </x:c>
      <x:c r="F53" s="17" t="n">
        <x:v>0.8</x:v>
      </x:c>
      <x:c r="G53" s="17" t="n">
        <x:v>1.4487</x:v>
      </x:c>
      <x:c r="H53" s="18" t="n">
        <x:v>0.03828458888888889</x:v>
      </x:c>
      <x:c r="I53" s="20" t="n">
        <x:f>H53/E53</x:f>
        <x:v>0.21269216049382716</x:v>
      </x:c>
      <x:c r="J53" s="20" t="str">
        <x:f>""</x:f>
      </x:c>
      <x:c r="K53" s="3" t="str">
        <x:v>未达截止</x:v>
      </x:c>
      <x:c r="L53" s="19" t="n">
        <x:v>46240.609456018516</x:v>
      </x:c>
      <x:c r="M53" s="3" t="n">
        <x:v>26030</x:v>
      </x:c>
    </x:row>
    <x:row r="54" ht="48" customHeight="1">
      <x:c r="A54" s="29" t="n">
        <x:v>11</x:v>
      </x:c>
      <x:c r="B54" s="30" t="str">
        <x:v>zmo, 0.05ma,cm2dcg. 0.18cm2, light 12cm0.5sun-240045-2-1-2818575314.ndax</x:v>
      </x:c>
      <x:c r="C54" s="31" t="n">
        <x:v>1</x:v>
      </x:c>
      <x:c r="D54" s="31" t="str">
        <x:v>12 cm / 0.5 sun</x:v>
      </x:c>
      <x:c r="E54" s="32" t="n">
        <x:f>'文件条件'!F18</x:f>
        <x:v>0.18</x:v>
      </x:c>
      <x:c r="F54" s="33" t="n">
        <x:v>0.8</x:v>
      </x:c>
      <x:c r="G54" s="33" t="n">
        <x:v>0.7998</x:v>
      </x:c>
      <x:c r="H54" s="34" t="n">
        <x:v>0.1197721888888889</x:v>
      </x:c>
      <x:c r="I54" s="35" t="n">
        <x:f>H54/E54</x:f>
        <x:v>0.6654010493827162</x:v>
      </x:c>
      <x:c r="J54" s="35" t="n">
        <x:f>I54</x:f>
        <x:v>0.6654010493827162</x:v>
      </x:c>
      <x:c r="K54" s="31" t="str">
        <x:v>已达截止</x:v>
      </x:c>
      <x:c r="L54" s="36" t="n">
        <x:v>46241.33337962963</x:v>
      </x:c>
      <x:c r="M54" s="31" t="n">
        <x:v>3125</x:v>
      </x:c>
    </x:row>
    <x:row r="55" ht="48" customHeight="1">
      <x:c r="A55" s="21" t="n">
        <x:v>11</x:v>
      </x:c>
      <x:c r="B55" s="22" t="str">
        <x:v>zmo, 0.05ma,cm2dcg. 0.18cm2, light 12cm0.5sun-240045-2-1-2818575314.ndax</x:v>
      </x:c>
      <x:c r="C55" s="23" t="n">
        <x:v>2</x:v>
      </x:c>
      <x:c r="D55" s="23" t="str">
        <x:v>12 cm / 0.5 sun</x:v>
      </x:c>
      <x:c r="E55" s="24" t="n">
        <x:f>'文件条件'!F18</x:f>
        <x:v>0.18</x:v>
      </x:c>
      <x:c r="F55" s="25" t="n">
        <x:v>0.8</x:v>
      </x:c>
      <x:c r="G55" s="25" t="n">
        <x:v>1.5203</x:v>
      </x:c>
      <x:c r="H55" s="26" t="n">
        <x:v>0.016256419444444444</x:v>
      </x:c>
      <x:c r="I55" s="27" t="n">
        <x:f>H55/E55</x:f>
        <x:v>0.09031344135802469</x:v>
      </x:c>
      <x:c r="J55" s="27" t="str">
        <x:f>""</x:f>
      </x:c>
      <x:c r="K55" s="23" t="str">
        <x:v>未达截止</x:v>
      </x:c>
      <x:c r="L55" s="28" t="n">
        <x:v>46241.537997685184</x:v>
      </x:c>
      <x:c r="M55" s="23" t="n">
        <x:v>4011</x:v>
      </x:c>
    </x:row>
    <x:row r="56" ht="48" customHeight="1">
      <x:c r="A56" s="37" t="n">
        <x:v>12</x:v>
      </x:c>
      <x:c r="B56" s="38" t="str">
        <x:v>zmo, 0.05ma,cm2dcg. 0.18cm2, light 12cm0.5sun_127.0.0.1-BTS82-45-2-1-2818575314.ndax</x:v>
      </x:c>
      <x:c r="C56" s="39" t="n">
        <x:v>1</x:v>
      </x:c>
      <x:c r="D56" s="39" t="str">
        <x:v>12 cm / 0.5 sun</x:v>
      </x:c>
      <x:c r="E56" s="40" t="n">
        <x:f>'文件条件'!F19</x:f>
        <x:v>0.18</x:v>
      </x:c>
      <x:c r="F56" s="41" t="n">
        <x:v>0.8</x:v>
      </x:c>
      <x:c r="G56" s="41" t="n">
        <x:v>0.7998</x:v>
      </x:c>
      <x:c r="H56" s="42" t="n">
        <x:v>0.1197721888888889</x:v>
      </x:c>
      <x:c r="I56" s="43" t="n">
        <x:f>H56/E56</x:f>
        <x:v>0.6654010493827162</x:v>
      </x:c>
      <x:c r="J56" s="43" t="n">
        <x:f>I56</x:f>
        <x:v>0.6654010493827162</x:v>
      </x:c>
      <x:c r="K56" s="39" t="str">
        <x:v>已达截止</x:v>
      </x:c>
      <x:c r="L56" s="44" t="n">
        <x:v>46241.33337962963</x:v>
      </x:c>
      <x:c r="M56" s="39" t="n">
        <x:v>3125</x:v>
      </x:c>
    </x:row>
    <x:row r="57" ht="48" customHeight="1">
      <x:c r="A57" s="14" t="n">
        <x:v>12</x:v>
      </x:c>
      <x:c r="B57" s="13" t="str">
        <x:v>zmo, 0.05ma,cm2dcg. 0.18cm2, light 12cm0.5sun_127.0.0.1-BTS82-45-2-1-2818575314.ndax</x:v>
      </x:c>
      <x:c r="C57" s="3" t="n">
        <x:v>2</x:v>
      </x:c>
      <x:c r="D57" s="3" t="str">
        <x:v>12 cm / 0.5 sun</x:v>
      </x:c>
      <x:c r="E57" s="15" t="n">
        <x:f>'文件条件'!F19</x:f>
        <x:v>0.18</x:v>
      </x:c>
      <x:c r="F57" s="17" t="n">
        <x:v>0.8</x:v>
      </x:c>
      <x:c r="G57" s="17" t="n">
        <x:v>1.5203</x:v>
      </x:c>
      <x:c r="H57" s="18" t="n">
        <x:v>0.016256419444444444</x:v>
      </x:c>
      <x:c r="I57" s="20" t="n">
        <x:f>H57/E57</x:f>
        <x:v>0.09031344135802469</x:v>
      </x:c>
      <x:c r="J57" s="20" t="str">
        <x:f>""</x:f>
      </x:c>
      <x:c r="K57" s="3" t="str">
        <x:v>未达截止</x:v>
      </x:c>
      <x:c r="L57" s="19" t="n">
        <x:v>46241.537997685184</x:v>
      </x:c>
      <x:c r="M57" s="3" t="n">
        <x:v>4011</x:v>
      </x:c>
    </x:row>
    <x:row r="58" ht="48" customHeight="1">
      <x:c r="A58" s="29" t="n">
        <x:v>13</x:v>
      </x:c>
      <x:c r="B58" s="30" t="str">
        <x:v>zmo, 0.05ma,cm2dcg. 0.18cm2, light 16cm0.2sun-240045-2-1-2818575312.ndax</x:v>
      </x:c>
      <x:c r="C58" s="31" t="n">
        <x:v>1</x:v>
      </x:c>
      <x:c r="D58" s="31" t="str">
        <x:v>16 cm / 0.2 sun</x:v>
      </x:c>
      <x:c r="E58" s="32" t="n">
        <x:f>'文件条件'!F20</x:f>
        <x:v>0.18</x:v>
      </x:c>
      <x:c r="F58" s="33" t="n">
        <x:v>0.8</x:v>
      </x:c>
      <x:c r="G58" s="33" t="n">
        <x:v>0.7998</x:v>
      </x:c>
      <x:c r="H58" s="34" t="n">
        <x:v>0.18680231111111112</x:v>
      </x:c>
      <x:c r="I58" s="35" t="n">
        <x:f>H58/E58</x:f>
        <x:v>1.0377906172839506</x:v>
      </x:c>
      <x:c r="J58" s="35" t="n">
        <x:f>I58</x:f>
        <x:v>1.0377906172839506</x:v>
      </x:c>
      <x:c r="K58" s="31" t="str">
        <x:v>已达截止</x:v>
      </x:c>
      <x:c r="L58" s="36" t="n">
        <x:v>46232.88195601852</x:v>
      </x:c>
      <x:c r="M58" s="31" t="n">
        <x:v>5491</x:v>
      </x:c>
    </x:row>
    <x:row r="59" ht="48" customHeight="1">
      <x:c r="A59" s="21" t="n">
        <x:v>13</x:v>
      </x:c>
      <x:c r="B59" s="22" t="str">
        <x:v>zmo, 0.05ma,cm2dcg. 0.18cm2, light 16cm0.2sun-240045-2-1-2818575312.ndax</x:v>
      </x:c>
      <x:c r="C59" s="23" t="n">
        <x:v>2</x:v>
      </x:c>
      <x:c r="D59" s="23" t="str">
        <x:v>16 cm / 0.2 sun</x:v>
      </x:c>
      <x:c r="E59" s="24" t="n">
        <x:f>'文件条件'!F20</x:f>
        <x:v>0.18</x:v>
      </x:c>
      <x:c r="F59" s="25" t="n">
        <x:v>0.8</x:v>
      </x:c>
      <x:c r="G59" s="25" t="n">
        <x:v>0.7998</x:v>
      </x:c>
      <x:c r="H59" s="26" t="n">
        <x:v>0.19452080000000002</x:v>
      </x:c>
      <x:c r="I59" s="27" t="n">
        <x:f>H59/E59</x:f>
        <x:v>1.0806711111111114</x:v>
      </x:c>
      <x:c r="J59" s="27" t="n">
        <x:f>I59</x:f>
        <x:v>1.0806711111111114</x:v>
      </x:c>
      <x:c r="K59" s="23" t="str">
        <x:v>已达截止</x:v>
      </x:c>
      <x:c r="L59" s="28" t="n">
        <x:v>46234.15390046296</x:v>
      </x:c>
      <x:c r="M59" s="23" t="n">
        <x:v>10989</x:v>
      </x:c>
    </x:row>
    <x:row r="60" ht="48" customHeight="1">
      <x:c r="A60" s="21" t="n">
        <x:v>13</x:v>
      </x:c>
      <x:c r="B60" s="22" t="str">
        <x:v>zmo, 0.05ma,cm2dcg. 0.18cm2, light 16cm0.2sun-240045-2-1-2818575312.ndax</x:v>
      </x:c>
      <x:c r="C60" s="23" t="n">
        <x:v>3</x:v>
      </x:c>
      <x:c r="D60" s="23" t="str">
        <x:v>16 cm / 0.2 sun</x:v>
      </x:c>
      <x:c r="E60" s="24" t="n">
        <x:f>'文件条件'!F20</x:f>
        <x:v>0.18</x:v>
      </x:c>
      <x:c r="F60" s="25" t="n">
        <x:v>0.8</x:v>
      </x:c>
      <x:c r="G60" s="25" t="n">
        <x:v>1.4394</x:v>
      </x:c>
      <x:c r="H60" s="26" t="n">
        <x:v>0.04885271111111111</x:v>
      </x:c>
      <x:c r="I60" s="27" t="n">
        <x:f>H60/E60</x:f>
        <x:v>0.27140395061728395</x:v>
      </x:c>
      <x:c r="J60" s="27" t="str">
        <x:f>""</x:f>
      </x:c>
      <x:c r="K60" s="23" t="str">
        <x:v>未达截止</x:v>
      </x:c>
      <x:c r="L60" s="28" t="n">
        <x:v>46234.586851851855</x:v>
      </x:c>
      <x:c r="M60" s="23" t="n">
        <x:v>12862</x:v>
      </x:c>
    </x:row>
    <x:row r="61" ht="48" customHeight="1">
      <x:c r="A61" s="37" t="n">
        <x:v>14</x:v>
      </x:c>
      <x:c r="B61" s="38" t="str">
        <x:v>zmo, 0.05ma,cm2dcg. 0.18cm2, light16cm0.2sun_127.0.0.1-BTS82-45-2-1-2818575312.ndax</x:v>
      </x:c>
      <x:c r="C61" s="39" t="n">
        <x:v>1</x:v>
      </x:c>
      <x:c r="D61" s="39" t="str">
        <x:v>16 cm / 0.2 sun</x:v>
      </x:c>
      <x:c r="E61" s="40" t="n">
        <x:f>'文件条件'!F21</x:f>
        <x:v>0.18</x:v>
      </x:c>
      <x:c r="F61" s="41" t="n">
        <x:v>0.8</x:v>
      </x:c>
      <x:c r="G61" s="41" t="n">
        <x:v>0.7998</x:v>
      </x:c>
      <x:c r="H61" s="42" t="n">
        <x:v>0.18680231111111112</x:v>
      </x:c>
      <x:c r="I61" s="43" t="n">
        <x:f>H61/E61</x:f>
        <x:v>1.0377906172839506</x:v>
      </x:c>
      <x:c r="J61" s="43" t="n">
        <x:f>I61</x:f>
        <x:v>1.0377906172839506</x:v>
      </x:c>
      <x:c r="K61" s="39" t="str">
        <x:v>已达截止</x:v>
      </x:c>
      <x:c r="L61" s="44" t="n">
        <x:v>46232.88195601852</x:v>
      </x:c>
      <x:c r="M61" s="39" t="n">
        <x:v>5491</x:v>
      </x:c>
    </x:row>
    <x:row r="62" ht="48" customHeight="1">
      <x:c r="A62" s="14" t="n">
        <x:v>14</x:v>
      </x:c>
      <x:c r="B62" s="13" t="str">
        <x:v>zmo, 0.05ma,cm2dcg. 0.18cm2, light16cm0.2sun_127.0.0.1-BTS82-45-2-1-2818575312.ndax</x:v>
      </x:c>
      <x:c r="C62" s="3" t="n">
        <x:v>2</x:v>
      </x:c>
      <x:c r="D62" s="3" t="str">
        <x:v>16 cm / 0.2 sun</x:v>
      </x:c>
      <x:c r="E62" s="15" t="n">
        <x:f>'文件条件'!F21</x:f>
        <x:v>0.18</x:v>
      </x:c>
      <x:c r="F62" s="17" t="n">
        <x:v>0.8</x:v>
      </x:c>
      <x:c r="G62" s="17" t="n">
        <x:v>0.7998</x:v>
      </x:c>
      <x:c r="H62" s="18" t="n">
        <x:v>0.19452080000000002</x:v>
      </x:c>
      <x:c r="I62" s="20" t="n">
        <x:f>H62/E62</x:f>
        <x:v>1.0806711111111114</x:v>
      </x:c>
      <x:c r="J62" s="20" t="n">
        <x:f>I62</x:f>
        <x:v>1.0806711111111114</x:v>
      </x:c>
      <x:c r="K62" s="3" t="str">
        <x:v>已达截止</x:v>
      </x:c>
      <x:c r="L62" s="19" t="n">
        <x:v>46234.15390046296</x:v>
      </x:c>
      <x:c r="M62" s="3" t="n">
        <x:v>10989</x:v>
      </x:c>
    </x:row>
    <x:row r="63" ht="48" customHeight="1">
      <x:c r="A63" s="14" t="n">
        <x:v>14</x:v>
      </x:c>
      <x:c r="B63" s="13" t="str">
        <x:v>zmo, 0.05ma,cm2dcg. 0.18cm2, light16cm0.2sun_127.0.0.1-BTS82-45-2-1-2818575312.ndax</x:v>
      </x:c>
      <x:c r="C63" s="3" t="n">
        <x:v>3</x:v>
      </x:c>
      <x:c r="D63" s="3" t="str">
        <x:v>16 cm / 0.2 sun</x:v>
      </x:c>
      <x:c r="E63" s="15" t="n">
        <x:f>'文件条件'!F21</x:f>
        <x:v>0.18</x:v>
      </x:c>
      <x:c r="F63" s="17" t="n">
        <x:v>0.8</x:v>
      </x:c>
      <x:c r="G63" s="17" t="n">
        <x:v>1.4394</x:v>
      </x:c>
      <x:c r="H63" s="18" t="n">
        <x:v>0.04885271111111111</x:v>
      </x:c>
      <x:c r="I63" s="20" t="n">
        <x:f>H63/E63</x:f>
        <x:v>0.27140395061728395</x:v>
      </x:c>
      <x:c r="J63" s="20" t="str">
        <x:f>""</x:f>
      </x:c>
      <x:c r="K63" s="3" t="str">
        <x:v>未达截止</x:v>
      </x:c>
      <x:c r="L63" s="19" t="n">
        <x:v>46234.586851851855</x:v>
      </x:c>
      <x:c r="M63" s="3" t="n">
        <x:v>12862</x:v>
      </x:c>
    </x:row>
    <x:row r="64" ht="48" customHeight="1">
      <x:c r="A64" s="29" t="n">
        <x:v>15</x:v>
      </x:c>
      <x:c r="B64" s="30" t="str">
        <x:v>zmo, 0.05ma,cm2dcg. DARK_127.0.0.1-BTS82-45-2-1-2818575313.ndax</x:v>
      </x:c>
      <x:c r="C64" s="31" t="n">
        <x:v>1</x:v>
      </x:c>
      <x:c r="D64" s="31" t="str">
        <x:v>DARK</x:v>
      </x:c>
      <x:c r="E64" s="32" t="n">
        <x:f>'文件条件'!F22</x:f>
        <x:v>0.18</x:v>
      </x:c>
      <x:c r="F64" s="33" t="n">
        <x:v>0.8</x:v>
      </x:c>
      <x:c r="G64" s="33" t="n">
        <x:v>0.7998</x:v>
      </x:c>
      <x:c r="H64" s="34" t="n">
        <x:v>0.16244781111111112</x:v>
      </x:c>
      <x:c r="I64" s="35" t="n">
        <x:f>H64/E64</x:f>
        <x:v>0.902487839506173</x:v>
      </x:c>
      <x:c r="J64" s="35" t="n">
        <x:f>I64</x:f>
        <x:v>0.902487839506173</x:v>
      </x:c>
      <x:c r="K64" s="31" t="str">
        <x:v>已达截止</x:v>
      </x:c>
      <x:c r="L64" s="36" t="n">
        <x:v>46235.55474537037</x:v>
      </x:c>
      <x:c r="M64" s="31" t="n">
        <x:v>4173</x:v>
      </x:c>
    </x:row>
    <x:row r="65" ht="48" customHeight="1">
      <x:c r="A65" s="21" t="n">
        <x:v>15</x:v>
      </x:c>
      <x:c r="B65" s="22" t="str">
        <x:v>zmo, 0.05ma,cm2dcg. DARK_127.0.0.1-BTS82-45-2-1-2818575313.ndax</x:v>
      </x:c>
      <x:c r="C65" s="23" t="n">
        <x:v>2</x:v>
      </x:c>
      <x:c r="D65" s="23" t="str">
        <x:v>DARK</x:v>
      </x:c>
      <x:c r="E65" s="24" t="n">
        <x:f>'文件条件'!F22</x:f>
        <x:v>0.18</x:v>
      </x:c>
      <x:c r="F65" s="25" t="n">
        <x:v>0.8</x:v>
      </x:c>
      <x:c r="G65" s="25" t="n">
        <x:v>0.7998</x:v>
      </x:c>
      <x:c r="H65" s="26" t="n">
        <x:v>0.14618311111111112</x:v>
      </x:c>
      <x:c r="I65" s="27" t="n">
        <x:f>H65/E65</x:f>
        <x:v>0.8121283950617285</x:v>
      </x:c>
      <x:c r="J65" s="27" t="n">
        <x:f>I65</x:f>
        <x:v>0.8121283950617285</x:v>
      </x:c>
      <x:c r="K65" s="23" t="str">
        <x:v>已达截止</x:v>
      </x:c>
      <x:c r="L65" s="28" t="n">
        <x:v>46236.529444444444</x:v>
      </x:c>
      <x:c r="M65" s="23" t="n">
        <x:v>8387</x:v>
      </x:c>
    </x:row>
    <x:row r="66" ht="48" customHeight="1">
      <x:c r="A66" s="21" t="n">
        <x:v>15</x:v>
      </x:c>
      <x:c r="B66" s="22" t="str">
        <x:v>zmo, 0.05ma,cm2dcg. DARK_127.0.0.1-BTS82-45-2-1-2818575313.ndax</x:v>
      </x:c>
      <x:c r="C66" s="23" t="n">
        <x:v>3</x:v>
      </x:c>
      <x:c r="D66" s="23" t="str">
        <x:v>DARK</x:v>
      </x:c>
      <x:c r="E66" s="24" t="n">
        <x:f>'文件条件'!F22</x:f>
        <x:v>0.18</x:v>
      </x:c>
      <x:c r="F66" s="25" t="n">
        <x:v>0.8</x:v>
      </x:c>
      <x:c r="G66" s="25" t="n">
        <x:v>0.7998</x:v>
      </x:c>
      <x:c r="H66" s="26" t="n">
        <x:v>0.1325580888888889</x:v>
      </x:c>
      <x:c r="I66" s="27" t="n">
        <x:f>H66/E66</x:f>
        <x:v>0.7364338271604939</x:v>
      </x:c>
      <x:c r="J66" s="27" t="n">
        <x:f>I66</x:f>
        <x:v>0.7364338271604939</x:v>
      </x:c>
      <x:c r="K66" s="23" t="str">
        <x:v>已达截止</x:v>
      </x:c>
      <x:c r="L66" s="28" t="n">
        <x:v>46237.408587962964</x:v>
      </x:c>
      <x:c r="M66" s="23" t="n">
        <x:v>12188</x:v>
      </x:c>
    </x:row>
    <x:row r="67" ht="48" customHeight="1">
      <x:c r="A67" s="21" t="n">
        <x:v>15</x:v>
      </x:c>
      <x:c r="B67" s="22" t="str">
        <x:v>zmo, 0.05ma,cm2dcg. DARK_127.0.0.1-BTS82-45-2-1-2818575313.ndax</x:v>
      </x:c>
      <x:c r="C67" s="23" t="n">
        <x:v>4</x:v>
      </x:c>
      <x:c r="D67" s="23" t="str">
        <x:v>DARK</x:v>
      </x:c>
      <x:c r="E67" s="24" t="n">
        <x:f>'文件条件'!F22</x:f>
        <x:v>0.18</x:v>
      </x:c>
      <x:c r="F67" s="25" t="n">
        <x:v>0.8</x:v>
      </x:c>
      <x:c r="G67" s="25" t="n">
        <x:v>0.7998</x:v>
      </x:c>
      <x:c r="H67" s="26" t="n">
        <x:v>0.12297211111111112</x:v>
      </x:c>
      <x:c r="I67" s="27" t="n">
        <x:f>H67/E67</x:f>
        <x:v>0.6831783950617284</x:v>
      </x:c>
      <x:c r="J67" s="27" t="n">
        <x:f>I67</x:f>
        <x:v>0.6831783950617284</x:v>
      </x:c>
      <x:c r="K67" s="23" t="str">
        <x:v>已达截止</x:v>
      </x:c>
      <x:c r="L67" s="28" t="n">
        <x:v>46238.22258101852</x:v>
      </x:c>
      <x:c r="M67" s="23" t="n">
        <x:v>15708</x:v>
      </x:c>
    </x:row>
    <x:row r="68" ht="48" customHeight="1">
      <x:c r="A68" s="21" t="n">
        <x:v>15</x:v>
      </x:c>
      <x:c r="B68" s="22" t="str">
        <x:v>zmo, 0.05ma,cm2dcg. DARK_127.0.0.1-BTS82-45-2-1-2818575313.ndax</x:v>
      </x:c>
      <x:c r="C68" s="23" t="n">
        <x:v>5</x:v>
      </x:c>
      <x:c r="D68" s="23" t="str">
        <x:v>DARK</x:v>
      </x:c>
      <x:c r="E68" s="24" t="n">
        <x:f>'文件条件'!F22</x:f>
        <x:v>0.18</x:v>
      </x:c>
      <x:c r="F68" s="25" t="n">
        <x:v>0.8</x:v>
      </x:c>
      <x:c r="G68" s="25" t="n">
        <x:v>0.7998</x:v>
      </x:c>
      <x:c r="H68" s="26" t="n">
        <x:v>0.10998505555555556</x:v>
      </x:c>
      <x:c r="I68" s="27" t="n">
        <x:f>H68/E68</x:f>
        <x:v>0.6110280864197531</x:v>
      </x:c>
      <x:c r="J68" s="27" t="n">
        <x:f>I68</x:f>
        <x:v>0.6110280864197531</x:v>
      </x:c>
      <x:c r="K68" s="23" t="str">
        <x:v>已达截止</x:v>
      </x:c>
      <x:c r="L68" s="28" t="n">
        <x:v>46238.94930555556</x:v>
      </x:c>
      <x:c r="M68" s="23" t="n">
        <x:v>18851</x:v>
      </x:c>
    </x:row>
    <x:row r="69" ht="48" customHeight="1">
      <x:c r="A69" s="21" t="n">
        <x:v>15</x:v>
      </x:c>
      <x:c r="B69" s="22" t="str">
        <x:v>zmo, 0.05ma,cm2dcg. DARK_127.0.0.1-BTS82-45-2-1-2818575313.ndax</x:v>
      </x:c>
      <x:c r="C69" s="23" t="n">
        <x:v>6</x:v>
      </x:c>
      <x:c r="D69" s="23" t="str">
        <x:v>DARK</x:v>
      </x:c>
      <x:c r="E69" s="24" t="n">
        <x:f>'文件条件'!F22</x:f>
        <x:v>0.18</x:v>
      </x:c>
      <x:c r="F69" s="25" t="n">
        <x:v>0.8</x:v>
      </x:c>
      <x:c r="G69" s="25" t="n">
        <x:v>0.7998</x:v>
      </x:c>
      <x:c r="H69" s="26" t="n">
        <x:v>0.1044904888888889</x:v>
      </x:c>
      <x:c r="I69" s="27" t="n">
        <x:f>H69/E69</x:f>
        <x:v>0.5805027160493827</x:v>
      </x:c>
      <x:c r="J69" s="27" t="n">
        <x:f>I69</x:f>
        <x:v>0.5805027160493827</x:v>
      </x:c>
      <x:c r="K69" s="23" t="str">
        <x:v>已达截止</x:v>
      </x:c>
      <x:c r="L69" s="28" t="n">
        <x:v>46239.638865740744</x:v>
      </x:c>
      <x:c r="M69" s="23" t="n">
        <x:v>21832</x:v>
      </x:c>
    </x:row>
    <x:row r="70" ht="48" customHeight="1">
      <x:c r="A70" s="21" t="n">
        <x:v>15</x:v>
      </x:c>
      <x:c r="B70" s="22" t="str">
        <x:v>zmo, 0.05ma,cm2dcg. DARK_127.0.0.1-BTS82-45-2-1-2818575313.ndax</x:v>
      </x:c>
      <x:c r="C70" s="23" t="n">
        <x:v>7</x:v>
      </x:c>
      <x:c r="D70" s="23" t="str">
        <x:v>DARK</x:v>
      </x:c>
      <x:c r="E70" s="24" t="n">
        <x:f>'文件条件'!F22</x:f>
        <x:v>0.18</x:v>
      </x:c>
      <x:c r="F70" s="25" t="n">
        <x:v>0.8</x:v>
      </x:c>
      <x:c r="G70" s="25" t="n">
        <x:v>0.7998</x:v>
      </x:c>
      <x:c r="H70" s="26" t="n">
        <x:v>0.10062567777777778</x:v>
      </x:c>
      <x:c r="I70" s="27" t="n">
        <x:f>H70/E70</x:f>
        <x:v>0.5590315432098766</x:v>
      </x:c>
      <x:c r="J70" s="27" t="n">
        <x:f>I70</x:f>
        <x:v>0.5590315432098766</x:v>
      </x:c>
      <x:c r="K70" s="23" t="str">
        <x:v>已达截止</x:v>
      </x:c>
      <x:c r="L70" s="28" t="n">
        <x:v>46240.30399305555</x:v>
      </x:c>
      <x:c r="M70" s="23" t="n">
        <x:v>24708</x:v>
      </x:c>
    </x:row>
    <x:row r="71" ht="48" customHeight="1">
      <x:c r="A71" s="21" t="n">
        <x:v>15</x:v>
      </x:c>
      <x:c r="B71" s="22" t="str">
        <x:v>zmo, 0.05ma,cm2dcg. DARK_127.0.0.1-BTS82-45-2-1-2818575313.ndax</x:v>
      </x:c>
      <x:c r="C71" s="23" t="n">
        <x:v>8</x:v>
      </x:c>
      <x:c r="D71" s="23" t="str">
        <x:v>DARK</x:v>
      </x:c>
      <x:c r="E71" s="24" t="n">
        <x:f>'文件条件'!F22</x:f>
        <x:v>0.18</x:v>
      </x:c>
      <x:c r="F71" s="25" t="n">
        <x:v>0.8</x:v>
      </x:c>
      <x:c r="G71" s="25" t="n">
        <x:v>1.4484</x:v>
      </x:c>
      <x:c r="H71" s="26" t="n">
        <x:v>0.03844836666666667</x:v>
      </x:c>
      <x:c r="I71" s="27" t="n">
        <x:f>H71/E71</x:f>
        <x:v>0.21360203703703706</x:v>
      </x:c>
      <x:c r="J71" s="27" t="str">
        <x:f>""</x:f>
      </x:c>
      <x:c r="K71" s="23" t="str">
        <x:v>未达截止</x:v>
      </x:c>
      <x:c r="L71" s="28" t="n">
        <x:v>46240.61038194445</x:v>
      </x:c>
      <x:c r="M71" s="23" t="n">
        <x:v>26034</x:v>
      </x:c>
    </x:row>
  </x:sheetData>
  <x:conditionalFormatting sqref="K8:K71">
    <x:cfRule type="containsText" dxfId="0" priority="1" operator="containsText" text="未达截止"/>
    <x:cfRule type="containsText" dxfId="1" priority="2" operator="containsText" text="无放电记录"/>
  </x:conditionalFormatting>
  <x:pageMargins left="0.7" right="0.7" top="0.75" bottom="0.75" header="0.3" footer="0.3"/>
  <x:tableParts count="1">
    <x:tablePart xmlns:r="http://schemas.openxmlformats.org/officeDocument/2006/relationships" r:id="Rb3c10eb25b8c41a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62.5" hidden="0" customWidth="1"/>
    <x:col min="3" max="3" width="12.5" hidden="0" customWidth="1"/>
    <x:col min="4" max="4" width="29.3799991607666" hidden="0" customWidth="1"/>
    <x:col min="5" max="5" width="17.5" hidden="0" customWidth="1"/>
    <x:col min="6" max="6" width="15" hidden="0" customWidth="1"/>
    <x:col min="7" max="7" width="14.380000114440918" hidden="0" customWidth="1"/>
    <x:col min="8" max="8" width="33.130001068115234" hidden="0" customWidth="1"/>
  </x:cols>
  <x:sheetData>
    <x:row r="1" ht="7.5" customHeight="1">
      <x:c r="A1" s="3"/>
      <x:c r="B1" s="3"/>
      <x:c r="C1" s="3"/>
      <x:c r="D1" s="3"/>
      <x:c r="E1" s="3"/>
      <x:c r="F1" s="3"/>
      <x:c r="G1" s="3"/>
      <x:c r="H1" s="3"/>
    </x:row>
    <x:row r="2" ht="25.5" customHeight="1">
      <x:c r="A2" s="3"/>
      <x:c r="B2" s="6" t="str">
        <x:v>NDAX 文件条件与面积</x:v>
      </x:c>
      <x:c r="C2" s="7"/>
      <x:c r="D2" s="7"/>
      <x:c r="E2" s="7"/>
      <x:c r="F2" s="7"/>
      <x:c r="G2" s="7"/>
      <x:c r="H2" s="7"/>
    </x:row>
    <x:row r="3" ht="18.75" customHeight="1">
      <x:c r="A3" s="3"/>
      <x:c r="B3" s="9" t="str">
        <x:v>保留全部 15 个文件，重复导出不去重。测试条件按文件名记录，未验证光照标注是否正确。</x:v>
      </x:c>
      <x:c r="C3" s="3"/>
      <x:c r="D3" s="3"/>
      <x:c r="E3" s="3"/>
      <x:c r="F3" s="3"/>
      <x:c r="G3" s="3"/>
      <x:c r="H3" s="3"/>
    </x:row>
    <x:row r="4" ht="18.75" customHeight="1">
      <x:c r="A4" s="3"/>
      <x:c r="B4" s="9" t="str">
        <x:v>浅黄色面积为输入项。所有循环的面积比容量引用这里，修改一个文件的面积后，该文件全部循环自动重算。</x:v>
      </x:c>
      <x:c r="C4" s="3"/>
      <x:c r="D4" s="3"/>
      <x:c r="E4" s="3"/>
      <x:c r="F4" s="3"/>
      <x:c r="G4" s="3"/>
      <x:c r="H4" s="3"/>
    </x:row>
    <x:row r="5" ht="18.75" customHeight="1">
      <x:c r="A5" s="3"/>
      <x:c r="B5" s="9" t="str">
        <x:v>混合光照文件按首圈 DARK、第二圈 8 cm / 1 sun 分圈标注，后续循环标为未注明。</x:v>
      </x:c>
      <x:c r="C5" s="3"/>
      <x:c r="D5" s="3"/>
      <x:c r="E5" s="3"/>
      <x:c r="F5" s="3"/>
      <x:c r="G5" s="3"/>
      <x:c r="H5" s="3"/>
    </x:row>
    <x:row r="6" ht="9" customHeight="1">
      <x:c r="A6" s="3"/>
      <x:c r="B6" s="3"/>
      <x:c r="C6" s="3"/>
      <x:c r="D6" s="3"/>
      <x:c r="E6" s="3"/>
      <x:c r="F6" s="3"/>
      <x:c r="G6" s="3"/>
      <x:c r="H6" s="3"/>
    </x:row>
    <x:row r="7" ht="48" customHeight="1">
      <x:c r="A7" s="12" t="str">
        <x:v>文件编号</x:v>
      </x:c>
      <x:c r="B7" s="12" t="str">
        <x:v>完整文件名</x:v>
      </x:c>
      <x:c r="C7" s="12" t="str">
        <x:v>材料／文件夹</x:v>
      </x:c>
      <x:c r="D7" s="12" t="str">
        <x:v>文件名光照标注</x:v>
      </x:c>
      <x:c r="E7" s="12" t="str">
        <x:v>标注放电电流密度
(mA/cm²)</x:v>
      </x:c>
      <x:c r="F7" s="12" t="str">
        <x:v>面积〔可改〕
(cm²)</x:v>
      </x:c>
      <x:c r="G7" s="12" t="str">
        <x:v>文件内循环数</x:v>
      </x:c>
      <x:c r="H7" s="12" t="str">
        <x:v>面积说明</x:v>
      </x:c>
    </x:row>
    <x:row r="8" ht="48" customHeight="1">
      <x:c r="A8" s="14" t="n">
        <x:v>1</x:v>
      </x:c>
      <x:c r="B8" s="13" t="str">
        <x:v>sno2zmo, 0.05ma,cm2dcg. 0.18cm2, light 12cm0.5sun-240045-11-1-2818575313.ndax</x:v>
      </x:c>
      <x:c r="C8" s="3" t="str">
        <x:v>sno2zmo</x:v>
      </x:c>
      <x:c r="D8" s="3" t="str">
        <x:v>12 cm / 0.5 sun</x:v>
      </x:c>
      <x:c r="E8" s="15" t="n">
        <x:v>0.05</x:v>
      </x:c>
      <x:c r="F8" s="16" t="n">
        <x:v>0.18</x:v>
      </x:c>
      <x:c r="G8" s="3" t="n">
        <x:v>10</x:v>
      </x:c>
      <x:c r="H8" s="3" t="str">
        <x:v>按文件名面积初始化</x:v>
      </x:c>
    </x:row>
    <x:row r="9" ht="48" customHeight="1">
      <x:c r="A9" s="14" t="n">
        <x:v>2</x:v>
      </x:c>
      <x:c r="B9" s="13" t="str">
        <x:v>sno2zmo, 0.05ma,cm2dcg. 0.18cm2, light 12cm0.5sun-240045-11-1-2818575314.ndax</x:v>
      </x:c>
      <x:c r="C9" s="3" t="str">
        <x:v>sno2zmo</x:v>
      </x:c>
      <x:c r="D9" s="3" t="str">
        <x:v>12 cm / 0.5 sun</x:v>
      </x:c>
      <x:c r="E9" s="15" t="n">
        <x:v>0.05</x:v>
      </x:c>
      <x:c r="F9" s="16" t="n">
        <x:v>0.18</x:v>
      </x:c>
      <x:c r="G9" s="3" t="n">
        <x:v>2</x:v>
      </x:c>
      <x:c r="H9" s="3" t="str">
        <x:v>按文件名面积初始化</x:v>
      </x:c>
    </x:row>
    <x:row r="10" ht="48" customHeight="1">
      <x:c r="A10" s="14" t="n">
        <x:v>3</x:v>
      </x:c>
      <x:c r="B10" s="13" t="str">
        <x:v>sno2zmo, 0.05ma,cm2dcg. 0.18cm2, light 12cm0.5sun-240045-2-1-2818575314.ndax</x:v>
      </x:c>
      <x:c r="C10" s="3" t="str">
        <x:v>sno2zmo</x:v>
      </x:c>
      <x:c r="D10" s="3" t="str">
        <x:v>12 cm / 0.5 sun</x:v>
      </x:c>
      <x:c r="E10" s="15" t="n">
        <x:v>0.05</x:v>
      </x:c>
      <x:c r="F10" s="16" t="n">
        <x:v>0.18</x:v>
      </x:c>
      <x:c r="G10" s="3" t="n">
        <x:v>2</x:v>
      </x:c>
      <x:c r="H10" s="3" t="str">
        <x:v>按文件名面积初始化</x:v>
      </x:c>
    </x:row>
    <x:row r="11" ht="48" customHeight="1">
      <x:c r="A11" s="14" t="n">
        <x:v>4</x:v>
      </x:c>
      <x:c r="B11" s="13" t="str">
        <x:v>sno2zmo, 0.05ma,cm2dcg. 0.18cm2, light 12cm0.5sun_127.0.0.1-BTS82-45-11-1-2818575314.ndax</x:v>
      </x:c>
      <x:c r="C11" s="3" t="str">
        <x:v>sno2zmo</x:v>
      </x:c>
      <x:c r="D11" s="3" t="str">
        <x:v>12 cm / 0.5 sun</x:v>
      </x:c>
      <x:c r="E11" s="15" t="n">
        <x:v>0.05</x:v>
      </x:c>
      <x:c r="F11" s="16" t="n">
        <x:v>0.18</x:v>
      </x:c>
      <x:c r="G11" s="3" t="n">
        <x:v>2</x:v>
      </x:c>
      <x:c r="H11" s="3" t="str">
        <x:v>按文件名面积初始化</x:v>
      </x:c>
    </x:row>
    <x:row r="12" ht="48" customHeight="1">
      <x:c r="A12" s="14" t="n">
        <x:v>5</x:v>
      </x:c>
      <x:c r="B12" s="13" t="str">
        <x:v>sno2zmo, 0.05ma,cm2dcg. 0.18cm2, light 16cm0.2sun-240045-11-1-2818575312.ndax</x:v>
      </x:c>
      <x:c r="C12" s="3" t="str">
        <x:v>sno2zmo</x:v>
      </x:c>
      <x:c r="D12" s="3" t="str">
        <x:v>16 cm / 0.2 sun</x:v>
      </x:c>
      <x:c r="E12" s="15" t="n">
        <x:v>0.05</x:v>
      </x:c>
      <x:c r="F12" s="16" t="n">
        <x:v>0.18</x:v>
      </x:c>
      <x:c r="G12" s="3" t="n">
        <x:v>3</x:v>
      </x:c>
      <x:c r="H12" s="3" t="str">
        <x:v>按文件名面积初始化</x:v>
      </x:c>
    </x:row>
    <x:row r="13" ht="48" customHeight="1">
      <x:c r="A13" s="14" t="n">
        <x:v>6</x:v>
      </x:c>
      <x:c r="B13" s="13" t="str">
        <x:v>sno2zmo, 0.05ma,cm2dcg. 0.18cm2, light 16cm0.2sun_127.0.0.1-BTS82-45-11-1-2818575312 (2).ndax</x:v>
      </x:c>
      <x:c r="C13" s="3" t="str">
        <x:v>sno2zmo</x:v>
      </x:c>
      <x:c r="D13" s="3" t="str">
        <x:v>16 cm / 0.2 sun</x:v>
      </x:c>
      <x:c r="E13" s="15" t="n">
        <x:v>0.05</x:v>
      </x:c>
      <x:c r="F13" s="16" t="n">
        <x:v>0.18</x:v>
      </x:c>
      <x:c r="G13" s="3" t="n">
        <x:v>3</x:v>
      </x:c>
      <x:c r="H13" s="3" t="str">
        <x:v>按文件名面积初始化</x:v>
      </x:c>
    </x:row>
    <x:row r="14" ht="48" customHeight="1">
      <x:c r="A14" s="14" t="n">
        <x:v>7</x:v>
      </x:c>
      <x:c r="B14" s="13" t="str">
        <x:v>sno2zmo, 0.05ma,cm2dcg. 0.18cm2, light 16cm0.2sun_127.0.0.1-BTS82-45-11-1-2818575312.ndax</x:v>
      </x:c>
      <x:c r="C14" s="3" t="str">
        <x:v>sno2zmo</x:v>
      </x:c>
      <x:c r="D14" s="3" t="str">
        <x:v>16 cm / 0.2 sun</x:v>
      </x:c>
      <x:c r="E14" s="15" t="n">
        <x:v>0.05</x:v>
      </x:c>
      <x:c r="F14" s="16" t="n">
        <x:v>0.18</x:v>
      </x:c>
      <x:c r="G14" s="3" t="n">
        <x:v>3</x:v>
      </x:c>
      <x:c r="H14" s="3" t="str">
        <x:v>按文件名面积初始化</x:v>
      </x:c>
    </x:row>
    <x:row r="15" ht="48" customHeight="1">
      <x:c r="A15" s="14" t="n">
        <x:v>8</x:v>
      </x:c>
      <x:c r="B15" s="13" t="str">
        <x:v>sno2zmo, 0.05ma,cm2dcg. DARK _27.0.0.1-BTS82-45-11-1-2818575313.ndax</x:v>
      </x:c>
      <x:c r="C15" s="3" t="str">
        <x:v>sno2zmo</x:v>
      </x:c>
      <x:c r="D15" s="3" t="str">
        <x:v>DARK</x:v>
      </x:c>
      <x:c r="E15" s="15" t="n">
        <x:v>0.05</x:v>
      </x:c>
      <x:c r="F15" s="16" t="n">
        <x:v>0.18</x:v>
      </x:c>
      <x:c r="G15" s="3" t="n">
        <x:v>10</x:v>
      </x:c>
      <x:c r="H15" s="3" t="str">
        <x:v>文件名未标面积，采用默认 0.18 cm²</x:v>
      </x:c>
    </x:row>
    <x:row r="16" ht="48" customHeight="1">
      <x:c r="A16" s="14" t="n">
        <x:v>9</x:v>
      </x:c>
      <x:c r="B16" s="13" t="str">
        <x:v>zmo, 0.05ma,cm2dcg. 0.18cm2, 1st dark +2nd light 8cm1sun_127.0.0.1-BTS82-45-2-1-2818575312.ndax</x:v>
      </x:c>
      <x:c r="C16" s="3" t="str">
        <x:v>zmo</x:v>
      </x:c>
      <x:c r="D16" s="3" t="str">
        <x:v>首圈 DARK；第二圈 8 cm / 1 sun</x:v>
      </x:c>
      <x:c r="E16" s="15" t="n">
        <x:v>0.05</x:v>
      </x:c>
      <x:c r="F16" s="16" t="n">
        <x:v>0.18</x:v>
      </x:c>
      <x:c r="G16" s="3" t="n">
        <x:v>3</x:v>
      </x:c>
      <x:c r="H16" s="3" t="str">
        <x:v>按文件名面积初始化</x:v>
      </x:c>
    </x:row>
    <x:row r="17" ht="48" customHeight="1">
      <x:c r="A17" s="14" t="n">
        <x:v>10</x:v>
      </x:c>
      <x:c r="B17" s="13" t="str">
        <x:v>zmo, 0.05ma,cm2dcg. 0.18cm2, light 12cm0.5sun-240045-2-1-2818575313.ndax</x:v>
      </x:c>
      <x:c r="C17" s="3" t="str">
        <x:v>zmo</x:v>
      </x:c>
      <x:c r="D17" s="3" t="str">
        <x:v>12 cm / 0.5 sun</x:v>
      </x:c>
      <x:c r="E17" s="15" t="n">
        <x:v>0.05</x:v>
      </x:c>
      <x:c r="F17" s="16" t="n">
        <x:v>0.18</x:v>
      </x:c>
      <x:c r="G17" s="3" t="n">
        <x:v>8</x:v>
      </x:c>
      <x:c r="H17" s="3" t="str">
        <x:v>按文件名面积初始化</x:v>
      </x:c>
    </x:row>
    <x:row r="18" ht="48" customHeight="1">
      <x:c r="A18" s="14" t="n">
        <x:v>11</x:v>
      </x:c>
      <x:c r="B18" s="13" t="str">
        <x:v>zmo, 0.05ma,cm2dcg. 0.18cm2, light 12cm0.5sun-240045-2-1-2818575314.ndax</x:v>
      </x:c>
      <x:c r="C18" s="3" t="str">
        <x:v>zmo</x:v>
      </x:c>
      <x:c r="D18" s="3" t="str">
        <x:v>12 cm / 0.5 sun</x:v>
      </x:c>
      <x:c r="E18" s="15" t="n">
        <x:v>0.05</x:v>
      </x:c>
      <x:c r="F18" s="16" t="n">
        <x:v>0.18</x:v>
      </x:c>
      <x:c r="G18" s="3" t="n">
        <x:v>2</x:v>
      </x:c>
      <x:c r="H18" s="3" t="str">
        <x:v>按文件名面积初始化</x:v>
      </x:c>
    </x:row>
    <x:row r="19" ht="48" customHeight="1">
      <x:c r="A19" s="14" t="n">
        <x:v>12</x:v>
      </x:c>
      <x:c r="B19" s="13" t="str">
        <x:v>zmo, 0.05ma,cm2dcg. 0.18cm2, light 12cm0.5sun_127.0.0.1-BTS82-45-2-1-2818575314.ndax</x:v>
      </x:c>
      <x:c r="C19" s="3" t="str">
        <x:v>zmo</x:v>
      </x:c>
      <x:c r="D19" s="3" t="str">
        <x:v>12 cm / 0.5 sun</x:v>
      </x:c>
      <x:c r="E19" s="15" t="n">
        <x:v>0.05</x:v>
      </x:c>
      <x:c r="F19" s="16" t="n">
        <x:v>0.18</x:v>
      </x:c>
      <x:c r="G19" s="3" t="n">
        <x:v>2</x:v>
      </x:c>
      <x:c r="H19" s="3" t="str">
        <x:v>按文件名面积初始化</x:v>
      </x:c>
    </x:row>
    <x:row r="20" ht="48" customHeight="1">
      <x:c r="A20" s="14" t="n">
        <x:v>13</x:v>
      </x:c>
      <x:c r="B20" s="13" t="str">
        <x:v>zmo, 0.05ma,cm2dcg. 0.18cm2, light 16cm0.2sun-240045-2-1-2818575312.ndax</x:v>
      </x:c>
      <x:c r="C20" s="3" t="str">
        <x:v>zmo</x:v>
      </x:c>
      <x:c r="D20" s="3" t="str">
        <x:v>16 cm / 0.2 sun</x:v>
      </x:c>
      <x:c r="E20" s="15" t="n">
        <x:v>0.05</x:v>
      </x:c>
      <x:c r="F20" s="16" t="n">
        <x:v>0.18</x:v>
      </x:c>
      <x:c r="G20" s="3" t="n">
        <x:v>3</x:v>
      </x:c>
      <x:c r="H20" s="3" t="str">
        <x:v>按文件名面积初始化</x:v>
      </x:c>
    </x:row>
    <x:row r="21" ht="48" customHeight="1">
      <x:c r="A21" s="14" t="n">
        <x:v>14</x:v>
      </x:c>
      <x:c r="B21" s="13" t="str">
        <x:v>zmo, 0.05ma,cm2dcg. 0.18cm2, light16cm0.2sun_127.0.0.1-BTS82-45-2-1-2818575312.ndax</x:v>
      </x:c>
      <x:c r="C21" s="3" t="str">
        <x:v>zmo</x:v>
      </x:c>
      <x:c r="D21" s="3" t="str">
        <x:v>16 cm / 0.2 sun</x:v>
      </x:c>
      <x:c r="E21" s="15" t="n">
        <x:v>0.05</x:v>
      </x:c>
      <x:c r="F21" s="16" t="n">
        <x:v>0.18</x:v>
      </x:c>
      <x:c r="G21" s="3" t="n">
        <x:v>3</x:v>
      </x:c>
      <x:c r="H21" s="3" t="str">
        <x:v>按文件名面积初始化</x:v>
      </x:c>
    </x:row>
    <x:row r="22" ht="48" customHeight="1">
      <x:c r="A22" s="14" t="n">
        <x:v>15</x:v>
      </x:c>
      <x:c r="B22" s="13" t="str">
        <x:v>zmo, 0.05ma,cm2dcg. DARK_127.0.0.1-BTS82-45-2-1-2818575313.ndax</x:v>
      </x:c>
      <x:c r="C22" s="3" t="str">
        <x:v>zmo</x:v>
      </x:c>
      <x:c r="D22" s="3" t="str">
        <x:v>DARK</x:v>
      </x:c>
      <x:c r="E22" s="15" t="n">
        <x:v>0.05</x:v>
      </x:c>
      <x:c r="F22" s="16" t="n">
        <x:v>0.18</x:v>
      </x:c>
      <x:c r="G22" s="3" t="n">
        <x:v>8</x:v>
      </x:c>
      <x:c r="H22" s="3" t="str">
        <x:v>文件名未标面积，采用默认 0.18 cm²</x:v>
      </x:c>
    </x:row>
  </x:sheetData>
  <x:dataValidations count="1">
    <x:dataValidation type="decimal" operator="greaterThan" sqref="F8:F22">
      <x:formula1>0</x:formula1>
    </x:dataValidation>
  </x:dataValidations>
  <x:pageMargins left="0.7" right="0.7" top="0.75" bottom="0.75" header="0.3" footer="0.3"/>
</x:worksheet>
</file>