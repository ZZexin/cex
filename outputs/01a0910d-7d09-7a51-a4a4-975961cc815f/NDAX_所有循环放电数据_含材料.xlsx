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Zexin\Documents\cex\outputs\01a0910d-7d09-7a51-a4a4-975961cc815f\"/>
    </mc:Choice>
  </mc:AlternateContent>
  <xr:revisionPtr revIDLastSave="0" documentId="13_ncr:1_{26DA7FDF-4F85-48EF-8A98-3AECE0CC3F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所有循环" sheetId="1" r:id="rId1"/>
    <sheet name="文件条件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1" i="1" l="1"/>
  <c r="E71" i="1"/>
  <c r="I71" i="1" s="1"/>
  <c r="E70" i="1"/>
  <c r="I70" i="1" s="1"/>
  <c r="J70" i="1" s="1"/>
  <c r="E69" i="1"/>
  <c r="I69" i="1" s="1"/>
  <c r="J69" i="1" s="1"/>
  <c r="E68" i="1"/>
  <c r="I68" i="1" s="1"/>
  <c r="J68" i="1" s="1"/>
  <c r="E67" i="1"/>
  <c r="I67" i="1" s="1"/>
  <c r="J67" i="1" s="1"/>
  <c r="E66" i="1"/>
  <c r="I66" i="1" s="1"/>
  <c r="J66" i="1" s="1"/>
  <c r="E65" i="1"/>
  <c r="I65" i="1" s="1"/>
  <c r="J65" i="1" s="1"/>
  <c r="E64" i="1"/>
  <c r="I64" i="1" s="1"/>
  <c r="J64" i="1" s="1"/>
  <c r="J63" i="1"/>
  <c r="E63" i="1"/>
  <c r="I63" i="1" s="1"/>
  <c r="E62" i="1"/>
  <c r="I62" i="1" s="1"/>
  <c r="J62" i="1" s="1"/>
  <c r="I61" i="1"/>
  <c r="J61" i="1" s="1"/>
  <c r="E61" i="1"/>
  <c r="J60" i="1"/>
  <c r="E60" i="1"/>
  <c r="I60" i="1" s="1"/>
  <c r="E59" i="1"/>
  <c r="I59" i="1" s="1"/>
  <c r="J59" i="1" s="1"/>
  <c r="E58" i="1"/>
  <c r="I58" i="1" s="1"/>
  <c r="J58" i="1" s="1"/>
  <c r="J57" i="1"/>
  <c r="E57" i="1"/>
  <c r="I57" i="1" s="1"/>
  <c r="E56" i="1"/>
  <c r="I56" i="1" s="1"/>
  <c r="J56" i="1" s="1"/>
  <c r="J55" i="1"/>
  <c r="E55" i="1"/>
  <c r="I55" i="1" s="1"/>
  <c r="E54" i="1"/>
  <c r="I54" i="1" s="1"/>
  <c r="J54" i="1" s="1"/>
  <c r="J53" i="1"/>
  <c r="E53" i="1"/>
  <c r="I53" i="1" s="1"/>
  <c r="E52" i="1"/>
  <c r="I52" i="1" s="1"/>
  <c r="J52" i="1" s="1"/>
  <c r="E51" i="1"/>
  <c r="I51" i="1" s="1"/>
  <c r="J51" i="1" s="1"/>
  <c r="E50" i="1"/>
  <c r="I50" i="1" s="1"/>
  <c r="J50" i="1" s="1"/>
  <c r="E49" i="1"/>
  <c r="I49" i="1" s="1"/>
  <c r="J49" i="1" s="1"/>
  <c r="E48" i="1"/>
  <c r="I48" i="1" s="1"/>
  <c r="J48" i="1" s="1"/>
  <c r="E47" i="1"/>
  <c r="I47" i="1" s="1"/>
  <c r="J47" i="1" s="1"/>
  <c r="E46" i="1"/>
  <c r="I46" i="1" s="1"/>
  <c r="J46" i="1" s="1"/>
  <c r="J45" i="1"/>
  <c r="I45" i="1"/>
  <c r="E45" i="1"/>
  <c r="E44" i="1"/>
  <c r="I44" i="1" s="1"/>
  <c r="J44" i="1" s="1"/>
  <c r="E43" i="1"/>
  <c r="I43" i="1" s="1"/>
  <c r="J43" i="1" s="1"/>
  <c r="J42" i="1"/>
  <c r="E42" i="1"/>
  <c r="I42" i="1" s="1"/>
  <c r="E41" i="1"/>
  <c r="I41" i="1" s="1"/>
  <c r="J41" i="1" s="1"/>
  <c r="E40" i="1"/>
  <c r="I40" i="1" s="1"/>
  <c r="J40" i="1" s="1"/>
  <c r="E39" i="1"/>
  <c r="I39" i="1" s="1"/>
  <c r="J39" i="1" s="1"/>
  <c r="E38" i="1"/>
  <c r="I38" i="1" s="1"/>
  <c r="J38" i="1" s="1"/>
  <c r="E37" i="1"/>
  <c r="I37" i="1" s="1"/>
  <c r="J37" i="1" s="1"/>
  <c r="E36" i="1"/>
  <c r="I36" i="1" s="1"/>
  <c r="J36" i="1" s="1"/>
  <c r="E35" i="1"/>
  <c r="I35" i="1" s="1"/>
  <c r="J35" i="1" s="1"/>
  <c r="E34" i="1"/>
  <c r="I34" i="1" s="1"/>
  <c r="J34" i="1" s="1"/>
  <c r="E33" i="1"/>
  <c r="I33" i="1" s="1"/>
  <c r="J33" i="1" s="1"/>
  <c r="J32" i="1"/>
  <c r="I32" i="1"/>
  <c r="E32" i="1"/>
  <c r="E31" i="1"/>
  <c r="I31" i="1" s="1"/>
  <c r="J31" i="1" s="1"/>
  <c r="E30" i="1"/>
  <c r="I30" i="1" s="1"/>
  <c r="J30" i="1" s="1"/>
  <c r="J29" i="1"/>
  <c r="I29" i="1"/>
  <c r="E29" i="1"/>
  <c r="E28" i="1"/>
  <c r="I28" i="1" s="1"/>
  <c r="J28" i="1" s="1"/>
  <c r="E27" i="1"/>
  <c r="I27" i="1" s="1"/>
  <c r="J27" i="1" s="1"/>
  <c r="J26" i="1"/>
  <c r="E26" i="1"/>
  <c r="I26" i="1" s="1"/>
  <c r="E25" i="1"/>
  <c r="I25" i="1" s="1"/>
  <c r="J25" i="1" s="1"/>
  <c r="E24" i="1"/>
  <c r="I24" i="1" s="1"/>
  <c r="J24" i="1" s="1"/>
  <c r="J23" i="1"/>
  <c r="I23" i="1"/>
  <c r="E23" i="1"/>
  <c r="E22" i="1"/>
  <c r="I22" i="1" s="1"/>
  <c r="J22" i="1" s="1"/>
  <c r="J21" i="1"/>
  <c r="E21" i="1"/>
  <c r="I21" i="1" s="1"/>
  <c r="E20" i="1"/>
  <c r="I20" i="1" s="1"/>
  <c r="J20" i="1" s="1"/>
  <c r="J19" i="1"/>
  <c r="I19" i="1"/>
  <c r="E19" i="1"/>
  <c r="E18" i="1"/>
  <c r="I18" i="1" s="1"/>
  <c r="J18" i="1" s="1"/>
  <c r="J17" i="1"/>
  <c r="E17" i="1"/>
  <c r="I17" i="1" s="1"/>
  <c r="E16" i="1"/>
  <c r="I16" i="1" s="1"/>
  <c r="J16" i="1" s="1"/>
  <c r="E15" i="1"/>
  <c r="I15" i="1" s="1"/>
  <c r="J15" i="1" s="1"/>
  <c r="E14" i="1"/>
  <c r="I14" i="1" s="1"/>
  <c r="J14" i="1" s="1"/>
  <c r="I13" i="1"/>
  <c r="J13" i="1" s="1"/>
  <c r="E13" i="1"/>
  <c r="E12" i="1"/>
  <c r="I12" i="1" s="1"/>
  <c r="J12" i="1" s="1"/>
  <c r="E11" i="1"/>
  <c r="I11" i="1" s="1"/>
  <c r="J11" i="1" s="1"/>
  <c r="E10" i="1"/>
  <c r="I10" i="1" s="1"/>
  <c r="J10" i="1" s="1"/>
  <c r="E9" i="1"/>
  <c r="I9" i="1" s="1"/>
  <c r="J9" i="1" s="1"/>
  <c r="E8" i="1"/>
  <c r="I8" i="1" s="1"/>
  <c r="J8" i="1" s="1"/>
</calcChain>
</file>

<file path=xl/sharedStrings.xml><?xml version="1.0" encoding="utf-8"?>
<sst xmlns="http://schemas.openxmlformats.org/spreadsheetml/2006/main" count="346" uniqueCount="56">
  <si>
    <t>NDAX 全部循环放电数据（15 文件，64 循环）</t>
  </si>
  <si>
    <t>每个文件的每一圈均保留，可按完整文件名筛选。原始循环计数 + 1 为循环号，包含 2 个尚无放电记录的循环。</t>
  </si>
  <si>
    <t>每圈取放电工步末条记录，电压与容量来自同一记录。面积比容量 = 容量 ÷ 面积，可在「文件条件」修改面积。</t>
  </si>
  <si>
    <t>达到截止判据：末点电压 ≤ 设定值 + 0.0005 V。未达截止或无放电记录时，截止比容量留空，不插值、不外推。</t>
  </si>
  <si>
    <t>文件编号</t>
  </si>
  <si>
    <t>完整文件名</t>
  </si>
  <si>
    <t>循环号</t>
  </si>
  <si>
    <t>本圈光照
（按文件名）</t>
  </si>
  <si>
    <t>面积
(cm²)</t>
  </si>
  <si>
    <t>设定截止电压
(V)</t>
  </si>
  <si>
    <t>放电末点电压
(V)</t>
  </si>
  <si>
    <t>放电末点容量
(mAh)</t>
  </si>
  <si>
    <t>放电末点面积比容量
(mAh/cm²)</t>
  </si>
  <si>
    <t>达到截止电压
对应比容量
(mAh/cm²)</t>
  </si>
  <si>
    <t>放电状态</t>
  </si>
  <si>
    <t>放电末点时间</t>
  </si>
  <si>
    <t>原始记录号</t>
  </si>
  <si>
    <t>材料</t>
  </si>
  <si>
    <t>sno2zmo, 0.05ma,cm2dcg. 0.18cm2, light 12cm0.5sun-240045-11-1-2818575313.ndax</t>
  </si>
  <si>
    <t>12 cm / 0.5 sun</t>
  </si>
  <si>
    <t>已达截止</t>
  </si>
  <si>
    <t>sno2zmo</t>
  </si>
  <si>
    <t>未达截止</t>
  </si>
  <si>
    <t>sno2zmo, 0.05ma,cm2dcg. 0.18cm2, light 12cm0.5sun-240045-11-1-2818575314.ndax</t>
  </si>
  <si>
    <t>无放电记录</t>
  </si>
  <si>
    <t>sno2zmo, 0.05ma,cm2dcg. 0.18cm2, light 12cm0.5sun-240045-2-1-2818575314.ndax</t>
  </si>
  <si>
    <t>sno2zmo, 0.05ma,cm2dcg. 0.18cm2, light 12cm0.5sun_127.0.0.1-BTS82-45-11-1-2818575314.ndax</t>
  </si>
  <si>
    <t>sno2zmo, 0.05ma,cm2dcg. 0.18cm2, light 16cm0.2sun-240045-11-1-2818575312.ndax</t>
  </si>
  <si>
    <t>16 cm / 0.2 sun</t>
  </si>
  <si>
    <t>sno2zmo, 0.05ma,cm2dcg. 0.18cm2, light 16cm0.2sun_127.0.0.1-BTS82-45-11-1-2818575312 (2).ndax</t>
  </si>
  <si>
    <t>sno2zmo, 0.05ma,cm2dcg. 0.18cm2, light 16cm0.2sun_127.0.0.1-BTS82-45-11-1-2818575312.ndax</t>
  </si>
  <si>
    <t>sno2zmo, 0.05ma,cm2dcg. DARK _27.0.0.1-BTS82-45-11-1-2818575313.ndax</t>
  </si>
  <si>
    <t>DARK</t>
  </si>
  <si>
    <t>zmo, 0.05ma,cm2dcg. 0.18cm2, 1st dark +2nd light 8cm1sun_127.0.0.1-BTS82-45-2-1-2818575312.ndax</t>
  </si>
  <si>
    <t>zmo</t>
  </si>
  <si>
    <t>8 cm / 1 sun</t>
  </si>
  <si>
    <t>未标注（文件名只说明首、第二圈）</t>
  </si>
  <si>
    <t>zmo, 0.05ma,cm2dcg. 0.18cm2, light 12cm0.5sun-240045-2-1-2818575313.ndax</t>
  </si>
  <si>
    <t>zmo, 0.05ma,cm2dcg. 0.18cm2, light 12cm0.5sun-240045-2-1-2818575314.ndax</t>
  </si>
  <si>
    <t>zmo, 0.05ma,cm2dcg. 0.18cm2, light 12cm0.5sun_127.0.0.1-BTS82-45-2-1-2818575314.ndax</t>
  </si>
  <si>
    <t>zmo, 0.05ma,cm2dcg. 0.18cm2, light 16cm0.2sun-240045-2-1-2818575312.ndax</t>
  </si>
  <si>
    <t>zmo, 0.05ma,cm2dcg. 0.18cm2, light16cm0.2sun_127.0.0.1-BTS82-45-2-1-2818575312.ndax</t>
  </si>
  <si>
    <t>zmo, 0.05ma,cm2dcg. DARK_127.0.0.1-BTS82-45-2-1-2818575313.ndax</t>
  </si>
  <si>
    <t>NDAX 文件条件与面积</t>
  </si>
  <si>
    <t>保留全部 15 个文件，重复导出不去重。测试条件按文件名记录，未验证光照标注是否正确。</t>
  </si>
  <si>
    <t>浅黄色面积为输入项。所有循环的面积比容量引用这里，修改一个文件的面积后，该文件全部循环自动重算。</t>
  </si>
  <si>
    <t>混合光照文件按首圈 DARK、第二圈 8 cm / 1 sun 分圈标注，后续循环标为未注明。</t>
  </si>
  <si>
    <t>材料／文件夹</t>
  </si>
  <si>
    <t>文件名光照标注</t>
  </si>
  <si>
    <t>标注放电电流密度
(mA/cm²)</t>
  </si>
  <si>
    <t>面积〔可改〕
(cm²)</t>
  </si>
  <si>
    <t>文件内循环数</t>
  </si>
  <si>
    <t>面积说明</t>
  </si>
  <si>
    <t>按文件名面积初始化</t>
  </si>
  <si>
    <t>文件名未标面积，采用默认 0.18 cm²</t>
  </si>
  <si>
    <t>首圈 DARK；第二圈 8 cm / 1 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</si>
</sst>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"/>
    <numFmt numFmtId="165" formatCode="0.0000"/>
    <numFmt numFmtId="166" formatCode="0.000000"/>
    <numFmt numFmtId="167" formatCode="yyyy\-mm\-dd\ hh:mm:ss"/>
  </numFmts>
  <fonts count="7">
    <font>
      <sz val="11"/>
      <name val="Carlito"/>
    </font>
    <font>
      <sz val="11"/>
      <color rgb="FF243444"/>
      <name val="Arial"/>
    </font>
    <font>
      <b/>
      <sz val="16"/>
      <color rgb="FF233D52"/>
      <name val="Arial"/>
    </font>
    <font>
      <sz val="10"/>
      <color rgb="FF536374"/>
      <name val="Arial"/>
    </font>
    <font>
      <b/>
      <sz val="11"/>
      <color rgb="FFFFFFFF"/>
      <name val="Arial"/>
    </font>
    <font>
      <sz val="10"/>
      <color rgb="FF243444"/>
      <name val="Arial"/>
    </font>
    <font>
      <b/>
      <sz val="11"/>
      <color rgb="FF186052"/>
      <name val="Arial"/>
    </font>
  </fonts>
  <fills count="6">
    <fill>
      <patternFill patternType="none"/>
    </fill>
    <fill>
      <patternFill patternType="gray125"/>
    </fill>
    <fill>
      <patternFill patternType="solid">
        <fgColor rgb="FF233D52"/>
      </patternFill>
    </fill>
    <fill>
      <patternFill patternType="solid">
        <fgColor rgb="FFFFF2CC"/>
      </patternFill>
    </fill>
    <fill>
      <patternFill patternType="solid">
        <fgColor rgb="FFF2F5F7"/>
      </patternFill>
    </fill>
    <fill>
      <patternFill patternType="solid">
        <fgColor rgb="FF233D52"/>
      </patternFill>
    </fill>
  </fills>
  <borders count="3">
    <border>
      <left/>
      <right/>
      <top/>
      <bottom/>
      <diagonal/>
    </border>
    <border>
      <left/>
      <right/>
      <top/>
      <bottom style="thin">
        <color rgb="FF6B8FA5"/>
      </bottom>
      <diagonal/>
    </border>
    <border>
      <left/>
      <right/>
      <top style="thin">
        <color rgb="FF9CAFBF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2" fontId="1" fillId="0" borderId="0" xfId="0" applyNumberFormat="1" applyFont="1" applyAlignment="1">
      <alignment vertical="center" wrapText="1"/>
    </xf>
    <xf numFmtId="2" fontId="1" fillId="3" borderId="0" xfId="0" applyNumberFormat="1" applyFont="1" applyFill="1" applyAlignment="1">
      <alignment vertical="center" wrapText="1"/>
    </xf>
    <xf numFmtId="165" fontId="1" fillId="0" borderId="0" xfId="0" applyNumberFormat="1" applyFont="1" applyAlignment="1">
      <alignment vertical="center" wrapText="1"/>
    </xf>
    <xf numFmtId="166" fontId="1" fillId="0" borderId="0" xfId="0" applyNumberFormat="1" applyFont="1" applyAlignment="1">
      <alignment vertical="center" wrapText="1"/>
    </xf>
    <xf numFmtId="167" fontId="1" fillId="0" borderId="0" xfId="0" applyNumberFormat="1" applyFont="1" applyAlignment="1">
      <alignment vertical="center" wrapText="1"/>
    </xf>
    <xf numFmtId="166" fontId="6" fillId="0" borderId="0" xfId="0" applyNumberFormat="1" applyFont="1" applyAlignment="1">
      <alignment vertical="center" wrapText="1"/>
    </xf>
    <xf numFmtId="164" fontId="1" fillId="4" borderId="0" xfId="0" applyNumberFormat="1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2" fontId="1" fillId="4" borderId="0" xfId="0" applyNumberFormat="1" applyFont="1" applyFill="1" applyAlignment="1">
      <alignment vertical="center" wrapText="1"/>
    </xf>
    <xf numFmtId="165" fontId="1" fillId="4" borderId="0" xfId="0" applyNumberFormat="1" applyFont="1" applyFill="1" applyAlignment="1">
      <alignment vertical="center" wrapText="1"/>
    </xf>
    <xf numFmtId="166" fontId="1" fillId="4" borderId="0" xfId="0" applyNumberFormat="1" applyFont="1" applyFill="1" applyAlignment="1">
      <alignment vertical="center" wrapText="1"/>
    </xf>
    <xf numFmtId="166" fontId="6" fillId="4" borderId="0" xfId="0" applyNumberFormat="1" applyFont="1" applyFill="1" applyAlignment="1">
      <alignment vertical="center" wrapText="1"/>
    </xf>
    <xf numFmtId="167" fontId="1" fillId="4" borderId="0" xfId="0" applyNumberFormat="1" applyFont="1" applyFill="1" applyAlignment="1">
      <alignment vertical="center" wrapText="1"/>
    </xf>
    <xf numFmtId="164" fontId="1" fillId="4" borderId="2" xfId="0" applyNumberFormat="1" applyFont="1" applyFill="1" applyBorder="1" applyAlignment="1">
      <alignment vertical="center" wrapText="1"/>
    </xf>
    <xf numFmtId="0" fontId="5" fillId="4" borderId="2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2" fontId="1" fillId="4" borderId="2" xfId="0" applyNumberFormat="1" applyFont="1" applyFill="1" applyBorder="1" applyAlignment="1">
      <alignment vertical="center" wrapText="1"/>
    </xf>
    <xf numFmtId="165" fontId="1" fillId="4" borderId="2" xfId="0" applyNumberFormat="1" applyFont="1" applyFill="1" applyBorder="1" applyAlignment="1">
      <alignment vertical="center" wrapText="1"/>
    </xf>
    <xf numFmtId="166" fontId="1" fillId="4" borderId="2" xfId="0" applyNumberFormat="1" applyFont="1" applyFill="1" applyBorder="1" applyAlignment="1">
      <alignment vertical="center" wrapText="1"/>
    </xf>
    <xf numFmtId="166" fontId="6" fillId="4" borderId="2" xfId="0" applyNumberFormat="1" applyFont="1" applyFill="1" applyBorder="1" applyAlignment="1">
      <alignment vertical="center" wrapText="1"/>
    </xf>
    <xf numFmtId="167" fontId="1" fillId="4" borderId="2" xfId="0" applyNumberFormat="1" applyFont="1" applyFill="1" applyBorder="1" applyAlignment="1">
      <alignment vertical="center" wrapText="1"/>
    </xf>
    <xf numFmtId="164" fontId="1" fillId="0" borderId="2" xfId="0" applyNumberFormat="1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2" fontId="1" fillId="0" borderId="2" xfId="0" applyNumberFormat="1" applyFont="1" applyBorder="1" applyAlignment="1">
      <alignment vertical="center" wrapText="1"/>
    </xf>
    <xf numFmtId="165" fontId="1" fillId="0" borderId="2" xfId="0" applyNumberFormat="1" applyFont="1" applyBorder="1" applyAlignment="1">
      <alignment vertical="center" wrapText="1"/>
    </xf>
    <xf numFmtId="166" fontId="1" fillId="0" borderId="2" xfId="0" applyNumberFormat="1" applyFont="1" applyBorder="1" applyAlignment="1">
      <alignment vertical="center" wrapText="1"/>
    </xf>
    <xf numFmtId="166" fontId="6" fillId="0" borderId="2" xfId="0" applyNumberFormat="1" applyFont="1" applyBorder="1" applyAlignment="1">
      <alignment vertical="center" wrapText="1"/>
    </xf>
    <xf numFmtId="167" fontId="1" fillId="0" borderId="2" xfId="0" applyNumberFormat="1" applyFont="1" applyBorder="1" applyAlignment="1">
      <alignment vertical="center" wrapText="1"/>
    </xf>
    <xf numFmtId="49" fontId="1" fillId="0" borderId="0" xfId="0" applyNumberFormat="1" applyFont="1" applyAlignment="1">
      <alignment horizontal="left" vertical="center"/>
    </xf>
    <xf numFmtId="0" fontId="4" fillId="5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ont>
        <color rgb="FF9A551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llDischargeCycles" displayName="AllDischargeCycles" ref="A7:N71" totalsRowShown="0">
  <autoFilter ref="A7:N71" xr:uid="{00000000-0009-0000-0100-000001000000}">
    <filterColumn colId="13">
      <filters>
        <filter val="zmo"/>
      </filters>
    </filterColumn>
  </autoFilter>
  <tableColumns count="14">
    <tableColumn id="1" xr3:uid="{00000000-0010-0000-0000-000001000000}" name="文件编号"/>
    <tableColumn id="2" xr3:uid="{00000000-0010-0000-0000-000002000000}" name="完整文件名"/>
    <tableColumn id="3" xr3:uid="{00000000-0010-0000-0000-000003000000}" name="循环号"/>
    <tableColumn id="4" xr3:uid="{00000000-0010-0000-0000-000004000000}" name="本圈光照_x000a_（按文件名）"/>
    <tableColumn id="5" xr3:uid="{00000000-0010-0000-0000-000005000000}" name="面积_x000a_(cm²)"/>
    <tableColumn id="6" xr3:uid="{00000000-0010-0000-0000-000006000000}" name="设定截止电压_x000a_(V)"/>
    <tableColumn id="7" xr3:uid="{00000000-0010-0000-0000-000007000000}" name="放电末点电压_x000a_(V)"/>
    <tableColumn id="8" xr3:uid="{00000000-0010-0000-0000-000008000000}" name="放电末点容量_x000a_(mAh)"/>
    <tableColumn id="9" xr3:uid="{00000000-0010-0000-0000-000009000000}" name="放电末点面积比容量_x000a_(mAh/cm²)"/>
    <tableColumn id="10" xr3:uid="{00000000-0010-0000-0000-00000A000000}" name="达到截止电压_x000a_对应比容量_x000a_(mAh/cm²)"/>
    <tableColumn id="11" xr3:uid="{00000000-0010-0000-0000-00000B000000}" name="放电状态"/>
    <tableColumn id="12" xr3:uid="{00000000-0010-0000-0000-00000C000000}" name="放电末点时间"/>
    <tableColumn id="13" xr3:uid="{00000000-0010-0000-0000-00000D000000}" name="原始记录号"/>
    <tableColumn id="14" xr3:uid="{00000000-0010-0000-0000-00000E000000}" name="材料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1"/>
  <sheetViews>
    <sheetView showGridLines="0" tabSelected="1" workbookViewId="0">
      <pane xSplit="2" ySplit="7" topLeftCell="E63" activePane="bottomRight" state="frozen"/>
      <selection pane="topRight"/>
      <selection pane="bottomLeft"/>
      <selection pane="bottomRight" activeCell="H64" sqref="H64"/>
    </sheetView>
  </sheetViews>
  <sheetFormatPr defaultRowHeight="14.25"/>
  <cols>
    <col min="1" max="1" width="8.125" customWidth="1"/>
    <col min="2" max="2" width="62.5" customWidth="1"/>
    <col min="3" max="3" width="9.375" customWidth="1"/>
    <col min="4" max="4" width="25" customWidth="1"/>
    <col min="5" max="5" width="11.25" customWidth="1"/>
    <col min="6" max="6" width="14.375" customWidth="1"/>
    <col min="7" max="7" width="15" customWidth="1"/>
    <col min="8" max="8" width="15.625" customWidth="1"/>
    <col min="9" max="10" width="19.375" customWidth="1"/>
    <col min="11" max="11" width="14.375" customWidth="1"/>
    <col min="12" max="12" width="23.75" customWidth="1"/>
    <col min="13" max="13" width="14.375" customWidth="1"/>
    <col min="14" max="14" width="13.75" customWidth="1"/>
  </cols>
  <sheetData>
    <row r="1" spans="1:14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4" ht="25.5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4" ht="18.75" customHeight="1">
      <c r="A3" s="1"/>
      <c r="B3" s="4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4" ht="18.75" customHeight="1">
      <c r="A4" s="1"/>
      <c r="B4" s="4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4" ht="18.75" customHeight="1">
      <c r="A5" s="1"/>
      <c r="B5" s="4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4" ht="9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4" ht="48" customHeight="1">
      <c r="A7" s="5" t="s">
        <v>4</v>
      </c>
      <c r="B7" s="5" t="s">
        <v>5</v>
      </c>
      <c r="C7" s="5" t="s">
        <v>6</v>
      </c>
      <c r="D7" s="5" t="s">
        <v>7</v>
      </c>
      <c r="E7" s="5" t="s">
        <v>8</v>
      </c>
      <c r="F7" s="5" t="s">
        <v>9</v>
      </c>
      <c r="G7" s="5" t="s">
        <v>10</v>
      </c>
      <c r="H7" s="5" t="s">
        <v>11</v>
      </c>
      <c r="I7" s="5" t="s">
        <v>12</v>
      </c>
      <c r="J7" s="5" t="s">
        <v>13</v>
      </c>
      <c r="K7" s="5" t="s">
        <v>14</v>
      </c>
      <c r="L7" s="5" t="s">
        <v>15</v>
      </c>
      <c r="M7" s="5" t="s">
        <v>16</v>
      </c>
      <c r="N7" s="39" t="s">
        <v>17</v>
      </c>
    </row>
    <row r="8" spans="1:14" ht="48" hidden="1" customHeight="1">
      <c r="A8" s="22">
        <v>1</v>
      </c>
      <c r="B8" s="23" t="s">
        <v>18</v>
      </c>
      <c r="C8" s="24">
        <v>1</v>
      </c>
      <c r="D8" s="24" t="s">
        <v>19</v>
      </c>
      <c r="E8" s="25">
        <f>文件条件!F8</f>
        <v>0.18</v>
      </c>
      <c r="F8" s="26">
        <v>0.8</v>
      </c>
      <c r="G8" s="26">
        <v>0.79979999999999996</v>
      </c>
      <c r="H8" s="27">
        <v>0.16304872222222222</v>
      </c>
      <c r="I8" s="28">
        <f t="shared" ref="I8:I18" si="0">H8/E8</f>
        <v>0.90582623456790123</v>
      </c>
      <c r="J8" s="28">
        <f t="shared" ref="J8:J16" si="1">I8</f>
        <v>0.90582623456790123</v>
      </c>
      <c r="K8" s="24" t="s">
        <v>20</v>
      </c>
      <c r="L8" s="29">
        <v>46235.393726851849</v>
      </c>
      <c r="M8" s="24">
        <v>3476</v>
      </c>
      <c r="N8" s="38" t="s">
        <v>21</v>
      </c>
    </row>
    <row r="9" spans="1:14" ht="48" hidden="1" customHeight="1">
      <c r="A9" s="14">
        <v>1</v>
      </c>
      <c r="B9" s="15" t="s">
        <v>18</v>
      </c>
      <c r="C9" s="16">
        <v>2</v>
      </c>
      <c r="D9" s="16" t="s">
        <v>19</v>
      </c>
      <c r="E9" s="17">
        <f>文件条件!F8</f>
        <v>0.18</v>
      </c>
      <c r="F9" s="18">
        <v>0.8</v>
      </c>
      <c r="G9" s="18">
        <v>0.79979999999999996</v>
      </c>
      <c r="H9" s="19">
        <v>0.12227637777777779</v>
      </c>
      <c r="I9" s="20">
        <f t="shared" si="0"/>
        <v>0.67931320987654331</v>
      </c>
      <c r="J9" s="20">
        <f t="shared" si="1"/>
        <v>0.67931320987654331</v>
      </c>
      <c r="K9" s="16" t="s">
        <v>20</v>
      </c>
      <c r="L9" s="21">
        <v>46236.11755787037</v>
      </c>
      <c r="M9" s="16">
        <v>6606</v>
      </c>
      <c r="N9" s="38" t="s">
        <v>21</v>
      </c>
    </row>
    <row r="10" spans="1:14" ht="48" hidden="1" customHeight="1">
      <c r="A10" s="14">
        <v>1</v>
      </c>
      <c r="B10" s="15" t="s">
        <v>18</v>
      </c>
      <c r="C10" s="16">
        <v>3</v>
      </c>
      <c r="D10" s="16" t="s">
        <v>19</v>
      </c>
      <c r="E10" s="17">
        <f>文件条件!F8</f>
        <v>0.18</v>
      </c>
      <c r="F10" s="18">
        <v>0.8</v>
      </c>
      <c r="G10" s="18">
        <v>0.79979999999999996</v>
      </c>
      <c r="H10" s="19">
        <v>0.11190053333333334</v>
      </c>
      <c r="I10" s="20">
        <f t="shared" si="0"/>
        <v>0.62166962962962968</v>
      </c>
      <c r="J10" s="20">
        <f t="shared" si="1"/>
        <v>0.62166962962962968</v>
      </c>
      <c r="K10" s="16" t="s">
        <v>20</v>
      </c>
      <c r="L10" s="21">
        <v>46236.756064814814</v>
      </c>
      <c r="M10" s="16">
        <v>9367</v>
      </c>
      <c r="N10" s="38" t="s">
        <v>21</v>
      </c>
    </row>
    <row r="11" spans="1:14" ht="48" hidden="1" customHeight="1">
      <c r="A11" s="14">
        <v>1</v>
      </c>
      <c r="B11" s="15" t="s">
        <v>18</v>
      </c>
      <c r="C11" s="16">
        <v>4</v>
      </c>
      <c r="D11" s="16" t="s">
        <v>19</v>
      </c>
      <c r="E11" s="17">
        <f>文件条件!F8</f>
        <v>0.18</v>
      </c>
      <c r="F11" s="18">
        <v>0.8</v>
      </c>
      <c r="G11" s="18">
        <v>0.79979999999999996</v>
      </c>
      <c r="H11" s="19">
        <v>0.10620683333333333</v>
      </c>
      <c r="I11" s="20">
        <f t="shared" si="0"/>
        <v>0.59003796296296296</v>
      </c>
      <c r="J11" s="20">
        <f t="shared" si="1"/>
        <v>0.59003796296296296</v>
      </c>
      <c r="K11" s="16" t="s">
        <v>20</v>
      </c>
      <c r="L11" s="21">
        <v>46237.358564814815</v>
      </c>
      <c r="M11" s="16">
        <v>11973</v>
      </c>
      <c r="N11" s="38" t="s">
        <v>21</v>
      </c>
    </row>
    <row r="12" spans="1:14" ht="48" hidden="1" customHeight="1">
      <c r="A12" s="14">
        <v>1</v>
      </c>
      <c r="B12" s="15" t="s">
        <v>18</v>
      </c>
      <c r="C12" s="16">
        <v>5</v>
      </c>
      <c r="D12" s="16" t="s">
        <v>19</v>
      </c>
      <c r="E12" s="17">
        <f>文件条件!F8</f>
        <v>0.18</v>
      </c>
      <c r="F12" s="18">
        <v>0.8</v>
      </c>
      <c r="G12" s="18">
        <v>0.79979999999999996</v>
      </c>
      <c r="H12" s="19">
        <v>0.10215594444444445</v>
      </c>
      <c r="I12" s="20">
        <f t="shared" si="0"/>
        <v>0.56753302469135813</v>
      </c>
      <c r="J12" s="20">
        <f t="shared" si="1"/>
        <v>0.56753302469135813</v>
      </c>
      <c r="K12" s="16" t="s">
        <v>20</v>
      </c>
      <c r="L12" s="21">
        <v>46237.937256944446</v>
      </c>
      <c r="M12" s="16">
        <v>14476</v>
      </c>
      <c r="N12" s="38" t="s">
        <v>21</v>
      </c>
    </row>
    <row r="13" spans="1:14" ht="48" hidden="1" customHeight="1">
      <c r="A13" s="14">
        <v>1</v>
      </c>
      <c r="B13" s="15" t="s">
        <v>18</v>
      </c>
      <c r="C13" s="16">
        <v>6</v>
      </c>
      <c r="D13" s="16" t="s">
        <v>19</v>
      </c>
      <c r="E13" s="17">
        <f>文件条件!F8</f>
        <v>0.18</v>
      </c>
      <c r="F13" s="18">
        <v>0.8</v>
      </c>
      <c r="G13" s="18">
        <v>0.79979999999999996</v>
      </c>
      <c r="H13" s="19">
        <v>0.10043571111111113</v>
      </c>
      <c r="I13" s="20">
        <f t="shared" si="0"/>
        <v>0.55797617283950629</v>
      </c>
      <c r="J13" s="20">
        <f t="shared" si="1"/>
        <v>0.55797617283950629</v>
      </c>
      <c r="K13" s="16" t="s">
        <v>20</v>
      </c>
      <c r="L13" s="21">
        <v>46238.504074074073</v>
      </c>
      <c r="M13" s="16">
        <v>16927</v>
      </c>
      <c r="N13" s="38" t="s">
        <v>21</v>
      </c>
    </row>
    <row r="14" spans="1:14" ht="48" hidden="1" customHeight="1">
      <c r="A14" s="14">
        <v>1</v>
      </c>
      <c r="B14" s="15" t="s">
        <v>18</v>
      </c>
      <c r="C14" s="16">
        <v>7</v>
      </c>
      <c r="D14" s="16" t="s">
        <v>19</v>
      </c>
      <c r="E14" s="17">
        <f>文件条件!F8</f>
        <v>0.18</v>
      </c>
      <c r="F14" s="18">
        <v>0.8</v>
      </c>
      <c r="G14" s="18">
        <v>0.79979999999999996</v>
      </c>
      <c r="H14" s="19">
        <v>9.946356666666667E-2</v>
      </c>
      <c r="I14" s="20">
        <f t="shared" si="0"/>
        <v>0.55257537037037041</v>
      </c>
      <c r="J14" s="20">
        <f t="shared" si="1"/>
        <v>0.55257537037037041</v>
      </c>
      <c r="K14" s="16" t="s">
        <v>20</v>
      </c>
      <c r="L14" s="21">
        <v>46239.065370370372</v>
      </c>
      <c r="M14" s="16">
        <v>19355</v>
      </c>
      <c r="N14" s="38" t="s">
        <v>21</v>
      </c>
    </row>
    <row r="15" spans="1:14" ht="48" hidden="1" customHeight="1">
      <c r="A15" s="14">
        <v>1</v>
      </c>
      <c r="B15" s="15" t="s">
        <v>18</v>
      </c>
      <c r="C15" s="16">
        <v>8</v>
      </c>
      <c r="D15" s="16" t="s">
        <v>19</v>
      </c>
      <c r="E15" s="17">
        <f>文件条件!F8</f>
        <v>0.18</v>
      </c>
      <c r="F15" s="18">
        <v>0.8</v>
      </c>
      <c r="G15" s="18">
        <v>0.79979999999999996</v>
      </c>
      <c r="H15" s="19">
        <v>9.6796177777777784E-2</v>
      </c>
      <c r="I15" s="20">
        <f t="shared" si="0"/>
        <v>0.53775654320987665</v>
      </c>
      <c r="J15" s="20">
        <f t="shared" si="1"/>
        <v>0.53775654320987665</v>
      </c>
      <c r="K15" s="16" t="s">
        <v>20</v>
      </c>
      <c r="L15" s="21">
        <v>46239.612210648149</v>
      </c>
      <c r="M15" s="16">
        <v>21721</v>
      </c>
      <c r="N15" s="38" t="s">
        <v>21</v>
      </c>
    </row>
    <row r="16" spans="1:14" ht="48" hidden="1" customHeight="1">
      <c r="A16" s="14">
        <v>1</v>
      </c>
      <c r="B16" s="15" t="s">
        <v>18</v>
      </c>
      <c r="C16" s="16">
        <v>9</v>
      </c>
      <c r="D16" s="16" t="s">
        <v>19</v>
      </c>
      <c r="E16" s="17">
        <f>文件条件!F8</f>
        <v>0.18</v>
      </c>
      <c r="F16" s="18">
        <v>0.8</v>
      </c>
      <c r="G16" s="18">
        <v>0.79979999999999996</v>
      </c>
      <c r="H16" s="19">
        <v>9.5603455555555564E-2</v>
      </c>
      <c r="I16" s="20">
        <f t="shared" si="0"/>
        <v>0.53113030864197541</v>
      </c>
      <c r="J16" s="20">
        <f t="shared" si="1"/>
        <v>0.53113030864197541</v>
      </c>
      <c r="K16" s="16" t="s">
        <v>20</v>
      </c>
      <c r="L16" s="21">
        <v>46240.151678240742</v>
      </c>
      <c r="M16" s="16">
        <v>24055</v>
      </c>
      <c r="N16" s="38" t="s">
        <v>21</v>
      </c>
    </row>
    <row r="17" spans="1:14" ht="48" hidden="1" customHeight="1">
      <c r="A17" s="14">
        <v>1</v>
      </c>
      <c r="B17" s="15" t="s">
        <v>18</v>
      </c>
      <c r="C17" s="16">
        <v>10</v>
      </c>
      <c r="D17" s="16" t="s">
        <v>19</v>
      </c>
      <c r="E17" s="17">
        <f>文件条件!F8</f>
        <v>0.18</v>
      </c>
      <c r="F17" s="18">
        <v>0.8</v>
      </c>
      <c r="G17" s="18">
        <v>1.0909</v>
      </c>
      <c r="H17" s="19">
        <v>7.8360705555555563E-2</v>
      </c>
      <c r="I17" s="20">
        <f t="shared" si="0"/>
        <v>0.4353372530864198</v>
      </c>
      <c r="J17" s="20" t="str">
        <f>""</f>
        <v/>
      </c>
      <c r="K17" s="16" t="s">
        <v>22</v>
      </c>
      <c r="L17" s="21">
        <v>46240.609571759262</v>
      </c>
      <c r="M17" s="16">
        <v>26036</v>
      </c>
      <c r="N17" s="38" t="s">
        <v>21</v>
      </c>
    </row>
    <row r="18" spans="1:14" ht="48" hidden="1" customHeight="1">
      <c r="A18" s="30">
        <v>2</v>
      </c>
      <c r="B18" s="31" t="s">
        <v>23</v>
      </c>
      <c r="C18" s="32">
        <v>1</v>
      </c>
      <c r="D18" s="32" t="s">
        <v>19</v>
      </c>
      <c r="E18" s="33">
        <f>文件条件!F9</f>
        <v>0.18</v>
      </c>
      <c r="F18" s="34">
        <v>0.8</v>
      </c>
      <c r="G18" s="34">
        <v>0.79979999999999996</v>
      </c>
      <c r="H18" s="35">
        <v>0.15467807777777778</v>
      </c>
      <c r="I18" s="36">
        <f t="shared" si="0"/>
        <v>0.85932265432098776</v>
      </c>
      <c r="J18" s="36">
        <f>I18</f>
        <v>0.85932265432098776</v>
      </c>
      <c r="K18" s="32" t="s">
        <v>20</v>
      </c>
      <c r="L18" s="37">
        <v>46241.423101851855</v>
      </c>
      <c r="M18" s="32">
        <v>3512</v>
      </c>
      <c r="N18" s="38" t="s">
        <v>21</v>
      </c>
    </row>
    <row r="19" spans="1:14" ht="48" hidden="1" customHeight="1">
      <c r="A19" s="7">
        <v>2</v>
      </c>
      <c r="B19" s="6" t="s">
        <v>23</v>
      </c>
      <c r="C19" s="1">
        <v>2</v>
      </c>
      <c r="D19" s="1" t="s">
        <v>19</v>
      </c>
      <c r="E19" s="8">
        <f>文件条件!F9</f>
        <v>0.18</v>
      </c>
      <c r="F19" s="10">
        <v>0.8</v>
      </c>
      <c r="G19" s="10"/>
      <c r="H19" s="11"/>
      <c r="I19" s="13" t="str">
        <f>""</f>
        <v/>
      </c>
      <c r="J19" s="13" t="str">
        <f>""</f>
        <v/>
      </c>
      <c r="K19" s="1" t="s">
        <v>24</v>
      </c>
      <c r="L19" s="12"/>
      <c r="M19" s="1"/>
      <c r="N19" s="38" t="s">
        <v>21</v>
      </c>
    </row>
    <row r="20" spans="1:14" ht="48" hidden="1" customHeight="1">
      <c r="A20" s="22">
        <v>3</v>
      </c>
      <c r="B20" s="23" t="s">
        <v>25</v>
      </c>
      <c r="C20" s="24">
        <v>1</v>
      </c>
      <c r="D20" s="24" t="s">
        <v>19</v>
      </c>
      <c r="E20" s="25">
        <f>文件条件!F10</f>
        <v>0.18</v>
      </c>
      <c r="F20" s="26">
        <v>0.8</v>
      </c>
      <c r="G20" s="26">
        <v>0.79979999999999996</v>
      </c>
      <c r="H20" s="27">
        <v>0.11977218888888889</v>
      </c>
      <c r="I20" s="28">
        <f>H20/E20</f>
        <v>0.66540104938271616</v>
      </c>
      <c r="J20" s="28">
        <f>I20</f>
        <v>0.66540104938271616</v>
      </c>
      <c r="K20" s="24" t="s">
        <v>20</v>
      </c>
      <c r="L20" s="29">
        <v>46241.333379629628</v>
      </c>
      <c r="M20" s="24">
        <v>3125</v>
      </c>
      <c r="N20" s="38" t="s">
        <v>21</v>
      </c>
    </row>
    <row r="21" spans="1:14" ht="48" hidden="1" customHeight="1">
      <c r="A21" s="14">
        <v>3</v>
      </c>
      <c r="B21" s="15" t="s">
        <v>25</v>
      </c>
      <c r="C21" s="16">
        <v>2</v>
      </c>
      <c r="D21" s="16" t="s">
        <v>19</v>
      </c>
      <c r="E21" s="17">
        <f>文件条件!F10</f>
        <v>0.18</v>
      </c>
      <c r="F21" s="18">
        <v>0.8</v>
      </c>
      <c r="G21" s="18">
        <v>1.5181</v>
      </c>
      <c r="H21" s="19">
        <v>1.6420197222222224E-2</v>
      </c>
      <c r="I21" s="20">
        <f>H21/E21</f>
        <v>9.1223317901234585E-2</v>
      </c>
      <c r="J21" s="20" t="str">
        <f>""</f>
        <v/>
      </c>
      <c r="K21" s="16" t="s">
        <v>22</v>
      </c>
      <c r="L21" s="21">
        <v>46241.538923611108</v>
      </c>
      <c r="M21" s="16">
        <v>4015</v>
      </c>
      <c r="N21" s="38" t="s">
        <v>21</v>
      </c>
    </row>
    <row r="22" spans="1:14" ht="48" hidden="1" customHeight="1">
      <c r="A22" s="30">
        <v>4</v>
      </c>
      <c r="B22" s="31" t="s">
        <v>26</v>
      </c>
      <c r="C22" s="32">
        <v>1</v>
      </c>
      <c r="D22" s="32" t="s">
        <v>19</v>
      </c>
      <c r="E22" s="33">
        <f>文件条件!F11</f>
        <v>0.18</v>
      </c>
      <c r="F22" s="34">
        <v>0.8</v>
      </c>
      <c r="G22" s="34">
        <v>0.79979999999999996</v>
      </c>
      <c r="H22" s="35">
        <v>0.15467807777777778</v>
      </c>
      <c r="I22" s="36">
        <f>H22/E22</f>
        <v>0.85932265432098776</v>
      </c>
      <c r="J22" s="36">
        <f>I22</f>
        <v>0.85932265432098776</v>
      </c>
      <c r="K22" s="32" t="s">
        <v>20</v>
      </c>
      <c r="L22" s="37">
        <v>46241.423101851855</v>
      </c>
      <c r="M22" s="32">
        <v>3512</v>
      </c>
      <c r="N22" s="38" t="s">
        <v>21</v>
      </c>
    </row>
    <row r="23" spans="1:14" ht="48" hidden="1" customHeight="1">
      <c r="A23" s="7">
        <v>4</v>
      </c>
      <c r="B23" s="6" t="s">
        <v>26</v>
      </c>
      <c r="C23" s="1">
        <v>2</v>
      </c>
      <c r="D23" s="1" t="s">
        <v>19</v>
      </c>
      <c r="E23" s="8">
        <f>文件条件!F11</f>
        <v>0.18</v>
      </c>
      <c r="F23" s="10">
        <v>0.8</v>
      </c>
      <c r="G23" s="10"/>
      <c r="H23" s="11"/>
      <c r="I23" s="13" t="str">
        <f>""</f>
        <v/>
      </c>
      <c r="J23" s="13" t="str">
        <f>""</f>
        <v/>
      </c>
      <c r="K23" s="1" t="s">
        <v>24</v>
      </c>
      <c r="L23" s="12"/>
      <c r="M23" s="1"/>
      <c r="N23" s="38" t="s">
        <v>21</v>
      </c>
    </row>
    <row r="24" spans="1:14" ht="48" hidden="1" customHeight="1">
      <c r="A24" s="22">
        <v>5</v>
      </c>
      <c r="B24" s="23" t="s">
        <v>27</v>
      </c>
      <c r="C24" s="24">
        <v>1</v>
      </c>
      <c r="D24" s="24" t="s">
        <v>28</v>
      </c>
      <c r="E24" s="25">
        <f>文件条件!F12</f>
        <v>0.18</v>
      </c>
      <c r="F24" s="26">
        <v>0.8</v>
      </c>
      <c r="G24" s="26">
        <v>0.79979999999999996</v>
      </c>
      <c r="H24" s="27">
        <v>0.15388622222222223</v>
      </c>
      <c r="I24" s="28">
        <f t="shared" ref="I24:I71" si="2">H24/E24</f>
        <v>0.85492345679012349</v>
      </c>
      <c r="J24" s="28">
        <f>I24</f>
        <v>0.85492345679012349</v>
      </c>
      <c r="K24" s="24" t="s">
        <v>20</v>
      </c>
      <c r="L24" s="29">
        <v>46232.454363425924</v>
      </c>
      <c r="M24" s="24">
        <v>3645</v>
      </c>
      <c r="N24" s="38" t="s">
        <v>21</v>
      </c>
    </row>
    <row r="25" spans="1:14" ht="48" hidden="1" customHeight="1">
      <c r="A25" s="14">
        <v>5</v>
      </c>
      <c r="B25" s="15" t="s">
        <v>27</v>
      </c>
      <c r="C25" s="16">
        <v>2</v>
      </c>
      <c r="D25" s="16" t="s">
        <v>28</v>
      </c>
      <c r="E25" s="17">
        <f>文件条件!F12</f>
        <v>0.18</v>
      </c>
      <c r="F25" s="18">
        <v>0.8</v>
      </c>
      <c r="G25" s="18">
        <v>0.79979999999999996</v>
      </c>
      <c r="H25" s="19">
        <v>0.14433353333333335</v>
      </c>
      <c r="I25" s="20">
        <f t="shared" si="2"/>
        <v>0.80185296296296305</v>
      </c>
      <c r="J25" s="20">
        <f>I25</f>
        <v>0.80185296296296305</v>
      </c>
      <c r="K25" s="16" t="s">
        <v>20</v>
      </c>
      <c r="L25" s="21">
        <v>46233.282638888886</v>
      </c>
      <c r="M25" s="16">
        <v>7226</v>
      </c>
      <c r="N25" s="38" t="s">
        <v>21</v>
      </c>
    </row>
    <row r="26" spans="1:14" ht="48" hidden="1" customHeight="1">
      <c r="A26" s="14">
        <v>5</v>
      </c>
      <c r="B26" s="15" t="s">
        <v>27</v>
      </c>
      <c r="C26" s="16">
        <v>3</v>
      </c>
      <c r="D26" s="16" t="s">
        <v>28</v>
      </c>
      <c r="E26" s="17">
        <f>文件条件!F12</f>
        <v>0.18</v>
      </c>
      <c r="F26" s="18">
        <v>0.8</v>
      </c>
      <c r="G26" s="18">
        <v>1.4366000000000001</v>
      </c>
      <c r="H26" s="19">
        <v>4.0554894444444448E-2</v>
      </c>
      <c r="I26" s="20">
        <f t="shared" si="2"/>
        <v>0.2253049691358025</v>
      </c>
      <c r="J26" s="20" t="str">
        <f>""</f>
        <v/>
      </c>
      <c r="K26" s="16" t="s">
        <v>22</v>
      </c>
      <c r="L26" s="21">
        <v>46233.617488425924</v>
      </c>
      <c r="M26" s="16">
        <v>8675</v>
      </c>
      <c r="N26" s="38" t="s">
        <v>21</v>
      </c>
    </row>
    <row r="27" spans="1:14" ht="48" hidden="1" customHeight="1">
      <c r="A27" s="30">
        <v>6</v>
      </c>
      <c r="B27" s="31" t="s">
        <v>29</v>
      </c>
      <c r="C27" s="32">
        <v>1</v>
      </c>
      <c r="D27" s="32" t="s">
        <v>28</v>
      </c>
      <c r="E27" s="33">
        <f>文件条件!F13</f>
        <v>0.18</v>
      </c>
      <c r="F27" s="34">
        <v>0.8</v>
      </c>
      <c r="G27" s="34">
        <v>0.79979999999999996</v>
      </c>
      <c r="H27" s="35">
        <v>0.15388622222222223</v>
      </c>
      <c r="I27" s="36">
        <f t="shared" si="2"/>
        <v>0.85492345679012349</v>
      </c>
      <c r="J27" s="36">
        <f>I27</f>
        <v>0.85492345679012349</v>
      </c>
      <c r="K27" s="32" t="s">
        <v>20</v>
      </c>
      <c r="L27" s="37">
        <v>46232.454363425924</v>
      </c>
      <c r="M27" s="32">
        <v>3645</v>
      </c>
      <c r="N27" s="38" t="s">
        <v>21</v>
      </c>
    </row>
    <row r="28" spans="1:14" ht="48" hidden="1" customHeight="1">
      <c r="A28" s="7">
        <v>6</v>
      </c>
      <c r="B28" s="6" t="s">
        <v>29</v>
      </c>
      <c r="C28" s="1">
        <v>2</v>
      </c>
      <c r="D28" s="1" t="s">
        <v>28</v>
      </c>
      <c r="E28" s="8">
        <f>文件条件!F13</f>
        <v>0.18</v>
      </c>
      <c r="F28" s="10">
        <v>0.8</v>
      </c>
      <c r="G28" s="10">
        <v>0.79979999999999996</v>
      </c>
      <c r="H28" s="11">
        <v>0.14433353333333335</v>
      </c>
      <c r="I28" s="13">
        <f t="shared" si="2"/>
        <v>0.80185296296296305</v>
      </c>
      <c r="J28" s="13">
        <f>I28</f>
        <v>0.80185296296296305</v>
      </c>
      <c r="K28" s="1" t="s">
        <v>20</v>
      </c>
      <c r="L28" s="12">
        <v>46233.282638888886</v>
      </c>
      <c r="M28" s="1">
        <v>7226</v>
      </c>
      <c r="N28" s="38" t="s">
        <v>21</v>
      </c>
    </row>
    <row r="29" spans="1:14" ht="48" hidden="1" customHeight="1">
      <c r="A29" s="7">
        <v>6</v>
      </c>
      <c r="B29" s="6" t="s">
        <v>29</v>
      </c>
      <c r="C29" s="1">
        <v>3</v>
      </c>
      <c r="D29" s="1" t="s">
        <v>28</v>
      </c>
      <c r="E29" s="8">
        <f>文件条件!F13</f>
        <v>0.18</v>
      </c>
      <c r="F29" s="10">
        <v>0.8</v>
      </c>
      <c r="G29" s="10">
        <v>1.4347000000000001</v>
      </c>
      <c r="H29" s="11">
        <v>4.1104277777777781E-2</v>
      </c>
      <c r="I29" s="13">
        <f t="shared" si="2"/>
        <v>0.22835709876543211</v>
      </c>
      <c r="J29" s="13" t="str">
        <f>""</f>
        <v/>
      </c>
      <c r="K29" s="1" t="s">
        <v>22</v>
      </c>
      <c r="L29" s="12">
        <v>46233.620034722226</v>
      </c>
      <c r="M29" s="1">
        <v>8686</v>
      </c>
      <c r="N29" s="38" t="s">
        <v>21</v>
      </c>
    </row>
    <row r="30" spans="1:14" ht="48" hidden="1" customHeight="1">
      <c r="A30" s="22">
        <v>7</v>
      </c>
      <c r="B30" s="23" t="s">
        <v>30</v>
      </c>
      <c r="C30" s="24">
        <v>1</v>
      </c>
      <c r="D30" s="24" t="s">
        <v>28</v>
      </c>
      <c r="E30" s="25">
        <f>文件条件!F14</f>
        <v>0.18</v>
      </c>
      <c r="F30" s="26">
        <v>0.8</v>
      </c>
      <c r="G30" s="26">
        <v>0.79979999999999996</v>
      </c>
      <c r="H30" s="27">
        <v>0.15388622222222223</v>
      </c>
      <c r="I30" s="28">
        <f t="shared" si="2"/>
        <v>0.85492345679012349</v>
      </c>
      <c r="J30" s="28">
        <f>I30</f>
        <v>0.85492345679012349</v>
      </c>
      <c r="K30" s="24" t="s">
        <v>20</v>
      </c>
      <c r="L30" s="29">
        <v>46232.454363425924</v>
      </c>
      <c r="M30" s="24">
        <v>3645</v>
      </c>
      <c r="N30" s="38" t="s">
        <v>21</v>
      </c>
    </row>
    <row r="31" spans="1:14" ht="48" hidden="1" customHeight="1">
      <c r="A31" s="14">
        <v>7</v>
      </c>
      <c r="B31" s="15" t="s">
        <v>30</v>
      </c>
      <c r="C31" s="16">
        <v>2</v>
      </c>
      <c r="D31" s="16" t="s">
        <v>28</v>
      </c>
      <c r="E31" s="17">
        <f>文件条件!F14</f>
        <v>0.18</v>
      </c>
      <c r="F31" s="18">
        <v>0.8</v>
      </c>
      <c r="G31" s="18">
        <v>0.79979999999999996</v>
      </c>
      <c r="H31" s="19">
        <v>0.14433353333333335</v>
      </c>
      <c r="I31" s="20">
        <f t="shared" si="2"/>
        <v>0.80185296296296305</v>
      </c>
      <c r="J31" s="20">
        <f>I31</f>
        <v>0.80185296296296305</v>
      </c>
      <c r="K31" s="16" t="s">
        <v>20</v>
      </c>
      <c r="L31" s="21">
        <v>46233.282638888886</v>
      </c>
      <c r="M31" s="16">
        <v>7226</v>
      </c>
      <c r="N31" s="38" t="s">
        <v>21</v>
      </c>
    </row>
    <row r="32" spans="1:14" ht="48" hidden="1" customHeight="1">
      <c r="A32" s="14">
        <v>7</v>
      </c>
      <c r="B32" s="15" t="s">
        <v>30</v>
      </c>
      <c r="C32" s="16">
        <v>3</v>
      </c>
      <c r="D32" s="16" t="s">
        <v>28</v>
      </c>
      <c r="E32" s="17">
        <f>文件条件!F14</f>
        <v>0.18</v>
      </c>
      <c r="F32" s="18">
        <v>0.8</v>
      </c>
      <c r="G32" s="18">
        <v>1.4347000000000001</v>
      </c>
      <c r="H32" s="19">
        <v>4.1104277777777781E-2</v>
      </c>
      <c r="I32" s="20">
        <f t="shared" si="2"/>
        <v>0.22835709876543211</v>
      </c>
      <c r="J32" s="20" t="str">
        <f>""</f>
        <v/>
      </c>
      <c r="K32" s="16" t="s">
        <v>22</v>
      </c>
      <c r="L32" s="21">
        <v>46233.620034722226</v>
      </c>
      <c r="M32" s="16">
        <v>8686</v>
      </c>
      <c r="N32" s="38" t="s">
        <v>21</v>
      </c>
    </row>
    <row r="33" spans="1:14" ht="48" hidden="1" customHeight="1">
      <c r="A33" s="30">
        <v>8</v>
      </c>
      <c r="B33" s="31" t="s">
        <v>31</v>
      </c>
      <c r="C33" s="32">
        <v>1</v>
      </c>
      <c r="D33" s="32" t="s">
        <v>32</v>
      </c>
      <c r="E33" s="33">
        <f>文件条件!F15</f>
        <v>0.18</v>
      </c>
      <c r="F33" s="34">
        <v>0.8</v>
      </c>
      <c r="G33" s="34">
        <v>0.79979999999999996</v>
      </c>
      <c r="H33" s="35">
        <v>0.16304872222222222</v>
      </c>
      <c r="I33" s="36">
        <f t="shared" si="2"/>
        <v>0.90582623456790123</v>
      </c>
      <c r="J33" s="36">
        <f t="shared" ref="J33:J41" si="3">I33</f>
        <v>0.90582623456790123</v>
      </c>
      <c r="K33" s="32" t="s">
        <v>20</v>
      </c>
      <c r="L33" s="37">
        <v>46235.393726851849</v>
      </c>
      <c r="M33" s="32">
        <v>3476</v>
      </c>
      <c r="N33" s="38" t="s">
        <v>21</v>
      </c>
    </row>
    <row r="34" spans="1:14" ht="48" hidden="1" customHeight="1">
      <c r="A34" s="7">
        <v>8</v>
      </c>
      <c r="B34" s="6" t="s">
        <v>31</v>
      </c>
      <c r="C34" s="1">
        <v>2</v>
      </c>
      <c r="D34" s="1" t="s">
        <v>32</v>
      </c>
      <c r="E34" s="8">
        <f>文件条件!F15</f>
        <v>0.18</v>
      </c>
      <c r="F34" s="10">
        <v>0.8</v>
      </c>
      <c r="G34" s="10">
        <v>0.79979999999999996</v>
      </c>
      <c r="H34" s="11">
        <v>0.12227637777777779</v>
      </c>
      <c r="I34" s="13">
        <f t="shared" si="2"/>
        <v>0.67931320987654331</v>
      </c>
      <c r="J34" s="13">
        <f t="shared" si="3"/>
        <v>0.67931320987654331</v>
      </c>
      <c r="K34" s="1" t="s">
        <v>20</v>
      </c>
      <c r="L34" s="12">
        <v>46236.11755787037</v>
      </c>
      <c r="M34" s="1">
        <v>6606</v>
      </c>
      <c r="N34" s="38" t="s">
        <v>21</v>
      </c>
    </row>
    <row r="35" spans="1:14" ht="48" hidden="1" customHeight="1">
      <c r="A35" s="7">
        <v>8</v>
      </c>
      <c r="B35" s="6" t="s">
        <v>31</v>
      </c>
      <c r="C35" s="1">
        <v>3</v>
      </c>
      <c r="D35" s="1" t="s">
        <v>32</v>
      </c>
      <c r="E35" s="8">
        <f>文件条件!F15</f>
        <v>0.18</v>
      </c>
      <c r="F35" s="10">
        <v>0.8</v>
      </c>
      <c r="G35" s="10">
        <v>0.79979999999999996</v>
      </c>
      <c r="H35" s="11">
        <v>0.11190053333333334</v>
      </c>
      <c r="I35" s="13">
        <f t="shared" si="2"/>
        <v>0.62166962962962968</v>
      </c>
      <c r="J35" s="13">
        <f t="shared" si="3"/>
        <v>0.62166962962962968</v>
      </c>
      <c r="K35" s="1" t="s">
        <v>20</v>
      </c>
      <c r="L35" s="12">
        <v>46236.756064814814</v>
      </c>
      <c r="M35" s="1">
        <v>9367</v>
      </c>
      <c r="N35" s="38" t="s">
        <v>21</v>
      </c>
    </row>
    <row r="36" spans="1:14" ht="48" hidden="1" customHeight="1">
      <c r="A36" s="7">
        <v>8</v>
      </c>
      <c r="B36" s="6" t="s">
        <v>31</v>
      </c>
      <c r="C36" s="1">
        <v>4</v>
      </c>
      <c r="D36" s="1" t="s">
        <v>32</v>
      </c>
      <c r="E36" s="8">
        <f>文件条件!F15</f>
        <v>0.18</v>
      </c>
      <c r="F36" s="10">
        <v>0.8</v>
      </c>
      <c r="G36" s="10">
        <v>0.79979999999999996</v>
      </c>
      <c r="H36" s="11">
        <v>0.10620683333333333</v>
      </c>
      <c r="I36" s="13">
        <f t="shared" si="2"/>
        <v>0.59003796296296296</v>
      </c>
      <c r="J36" s="13">
        <f t="shared" si="3"/>
        <v>0.59003796296296296</v>
      </c>
      <c r="K36" s="1" t="s">
        <v>20</v>
      </c>
      <c r="L36" s="12">
        <v>46237.358564814815</v>
      </c>
      <c r="M36" s="1">
        <v>11973</v>
      </c>
      <c r="N36" s="38" t="s">
        <v>21</v>
      </c>
    </row>
    <row r="37" spans="1:14" ht="48" hidden="1" customHeight="1">
      <c r="A37" s="7">
        <v>8</v>
      </c>
      <c r="B37" s="6" t="s">
        <v>31</v>
      </c>
      <c r="C37" s="1">
        <v>5</v>
      </c>
      <c r="D37" s="1" t="s">
        <v>32</v>
      </c>
      <c r="E37" s="8">
        <f>文件条件!F15</f>
        <v>0.18</v>
      </c>
      <c r="F37" s="10">
        <v>0.8</v>
      </c>
      <c r="G37" s="10">
        <v>0.79979999999999996</v>
      </c>
      <c r="H37" s="11">
        <v>0.10215594444444445</v>
      </c>
      <c r="I37" s="13">
        <f t="shared" si="2"/>
        <v>0.56753302469135813</v>
      </c>
      <c r="J37" s="13">
        <f t="shared" si="3"/>
        <v>0.56753302469135813</v>
      </c>
      <c r="K37" s="1" t="s">
        <v>20</v>
      </c>
      <c r="L37" s="12">
        <v>46237.937256944446</v>
      </c>
      <c r="M37" s="1">
        <v>14476</v>
      </c>
      <c r="N37" s="38" t="s">
        <v>21</v>
      </c>
    </row>
    <row r="38" spans="1:14" ht="48" hidden="1" customHeight="1">
      <c r="A38" s="7">
        <v>8</v>
      </c>
      <c r="B38" s="6" t="s">
        <v>31</v>
      </c>
      <c r="C38" s="1">
        <v>6</v>
      </c>
      <c r="D38" s="1" t="s">
        <v>32</v>
      </c>
      <c r="E38" s="8">
        <f>文件条件!F15</f>
        <v>0.18</v>
      </c>
      <c r="F38" s="10">
        <v>0.8</v>
      </c>
      <c r="G38" s="10">
        <v>0.79979999999999996</v>
      </c>
      <c r="H38" s="11">
        <v>0.10043571111111113</v>
      </c>
      <c r="I38" s="13">
        <f t="shared" si="2"/>
        <v>0.55797617283950629</v>
      </c>
      <c r="J38" s="13">
        <f t="shared" si="3"/>
        <v>0.55797617283950629</v>
      </c>
      <c r="K38" s="1" t="s">
        <v>20</v>
      </c>
      <c r="L38" s="12">
        <v>46238.504074074073</v>
      </c>
      <c r="M38" s="1">
        <v>16927</v>
      </c>
      <c r="N38" s="38" t="s">
        <v>21</v>
      </c>
    </row>
    <row r="39" spans="1:14" ht="48" hidden="1" customHeight="1">
      <c r="A39" s="7">
        <v>8</v>
      </c>
      <c r="B39" s="6" t="s">
        <v>31</v>
      </c>
      <c r="C39" s="1">
        <v>7</v>
      </c>
      <c r="D39" s="1" t="s">
        <v>32</v>
      </c>
      <c r="E39" s="8">
        <f>文件条件!F15</f>
        <v>0.18</v>
      </c>
      <c r="F39" s="10">
        <v>0.8</v>
      </c>
      <c r="G39" s="10">
        <v>0.79979999999999996</v>
      </c>
      <c r="H39" s="11">
        <v>9.946356666666667E-2</v>
      </c>
      <c r="I39" s="13">
        <f t="shared" si="2"/>
        <v>0.55257537037037041</v>
      </c>
      <c r="J39" s="13">
        <f t="shared" si="3"/>
        <v>0.55257537037037041</v>
      </c>
      <c r="K39" s="1" t="s">
        <v>20</v>
      </c>
      <c r="L39" s="12">
        <v>46239.065370370372</v>
      </c>
      <c r="M39" s="1">
        <v>19355</v>
      </c>
      <c r="N39" s="38" t="s">
        <v>21</v>
      </c>
    </row>
    <row r="40" spans="1:14" ht="48" hidden="1" customHeight="1">
      <c r="A40" s="7">
        <v>8</v>
      </c>
      <c r="B40" s="6" t="s">
        <v>31</v>
      </c>
      <c r="C40" s="1">
        <v>8</v>
      </c>
      <c r="D40" s="1" t="s">
        <v>32</v>
      </c>
      <c r="E40" s="8">
        <f>文件条件!F15</f>
        <v>0.18</v>
      </c>
      <c r="F40" s="10">
        <v>0.8</v>
      </c>
      <c r="G40" s="10">
        <v>0.79979999999999996</v>
      </c>
      <c r="H40" s="11">
        <v>9.6796177777777784E-2</v>
      </c>
      <c r="I40" s="13">
        <f t="shared" si="2"/>
        <v>0.53775654320987665</v>
      </c>
      <c r="J40" s="13">
        <f t="shared" si="3"/>
        <v>0.53775654320987665</v>
      </c>
      <c r="K40" s="1" t="s">
        <v>20</v>
      </c>
      <c r="L40" s="12">
        <v>46239.612210648149</v>
      </c>
      <c r="M40" s="1">
        <v>21721</v>
      </c>
      <c r="N40" s="38" t="s">
        <v>21</v>
      </c>
    </row>
    <row r="41" spans="1:14" ht="48" hidden="1" customHeight="1">
      <c r="A41" s="7">
        <v>8</v>
      </c>
      <c r="B41" s="6" t="s">
        <v>31</v>
      </c>
      <c r="C41" s="1">
        <v>9</v>
      </c>
      <c r="D41" s="1" t="s">
        <v>32</v>
      </c>
      <c r="E41" s="8">
        <f>文件条件!F15</f>
        <v>0.18</v>
      </c>
      <c r="F41" s="10">
        <v>0.8</v>
      </c>
      <c r="G41" s="10">
        <v>0.79979999999999996</v>
      </c>
      <c r="H41" s="11">
        <v>9.5603455555555564E-2</v>
      </c>
      <c r="I41" s="13">
        <f t="shared" si="2"/>
        <v>0.53113030864197541</v>
      </c>
      <c r="J41" s="13">
        <f t="shared" si="3"/>
        <v>0.53113030864197541</v>
      </c>
      <c r="K41" s="1" t="s">
        <v>20</v>
      </c>
      <c r="L41" s="12">
        <v>46240.151678240742</v>
      </c>
      <c r="M41" s="1">
        <v>24055</v>
      </c>
      <c r="N41" s="38" t="s">
        <v>21</v>
      </c>
    </row>
    <row r="42" spans="1:14" ht="48" hidden="1" customHeight="1">
      <c r="A42" s="7">
        <v>8</v>
      </c>
      <c r="B42" s="6" t="s">
        <v>31</v>
      </c>
      <c r="C42" s="1">
        <v>10</v>
      </c>
      <c r="D42" s="1" t="s">
        <v>32</v>
      </c>
      <c r="E42" s="8">
        <f>文件条件!F15</f>
        <v>0.18</v>
      </c>
      <c r="F42" s="10">
        <v>0.8</v>
      </c>
      <c r="G42" s="10">
        <v>1.0855999999999999</v>
      </c>
      <c r="H42" s="11">
        <v>7.8510527777777783E-2</v>
      </c>
      <c r="I42" s="13">
        <f t="shared" si="2"/>
        <v>0.43616959876543215</v>
      </c>
      <c r="J42" s="13" t="str">
        <f>""</f>
        <v/>
      </c>
      <c r="K42" s="1" t="s">
        <v>22</v>
      </c>
      <c r="L42" s="12">
        <v>46240.610266203701</v>
      </c>
      <c r="M42" s="1">
        <v>26039</v>
      </c>
      <c r="N42" s="38" t="s">
        <v>21</v>
      </c>
    </row>
    <row r="43" spans="1:14" ht="48" customHeight="1">
      <c r="A43" s="22">
        <v>9</v>
      </c>
      <c r="B43" s="23" t="s">
        <v>33</v>
      </c>
      <c r="C43" s="24">
        <v>1</v>
      </c>
      <c r="D43" s="24" t="s">
        <v>32</v>
      </c>
      <c r="E43" s="25">
        <f>文件条件!F16</f>
        <v>0.18</v>
      </c>
      <c r="F43" s="26">
        <v>0.8</v>
      </c>
      <c r="G43" s="26">
        <v>0.79979999999999996</v>
      </c>
      <c r="H43" s="27">
        <v>0.18680231111111112</v>
      </c>
      <c r="I43" s="28">
        <f t="shared" si="2"/>
        <v>1.0377906172839506</v>
      </c>
      <c r="J43" s="28">
        <f>I43</f>
        <v>1.0377906172839506</v>
      </c>
      <c r="K43" s="24" t="s">
        <v>20</v>
      </c>
      <c r="L43" s="29">
        <v>46232.881956018522</v>
      </c>
      <c r="M43" s="24">
        <v>5491</v>
      </c>
      <c r="N43" s="38" t="s">
        <v>34</v>
      </c>
    </row>
    <row r="44" spans="1:14" ht="48" customHeight="1">
      <c r="A44" s="14">
        <v>9</v>
      </c>
      <c r="B44" s="15" t="s">
        <v>33</v>
      </c>
      <c r="C44" s="16">
        <v>2</v>
      </c>
      <c r="D44" s="16" t="s">
        <v>35</v>
      </c>
      <c r="E44" s="17">
        <f>文件条件!F16</f>
        <v>0.18</v>
      </c>
      <c r="F44" s="18">
        <v>0.8</v>
      </c>
      <c r="G44" s="18">
        <v>0.79979999999999996</v>
      </c>
      <c r="H44" s="19">
        <v>0.19452080000000002</v>
      </c>
      <c r="I44" s="20">
        <f t="shared" si="2"/>
        <v>1.0806711111111114</v>
      </c>
      <c r="J44" s="20">
        <f>I44</f>
        <v>1.0806711111111114</v>
      </c>
      <c r="K44" s="16" t="s">
        <v>20</v>
      </c>
      <c r="L44" s="21">
        <v>46234.153900462959</v>
      </c>
      <c r="M44" s="16">
        <v>10989</v>
      </c>
      <c r="N44" s="38" t="s">
        <v>34</v>
      </c>
    </row>
    <row r="45" spans="1:14" ht="48" customHeight="1">
      <c r="A45" s="14">
        <v>9</v>
      </c>
      <c r="B45" s="15" t="s">
        <v>33</v>
      </c>
      <c r="C45" s="16">
        <v>3</v>
      </c>
      <c r="D45" s="16" t="s">
        <v>36</v>
      </c>
      <c r="E45" s="17">
        <f>文件条件!F16</f>
        <v>0.18</v>
      </c>
      <c r="F45" s="18">
        <v>0.8</v>
      </c>
      <c r="G45" s="18">
        <v>1.4388000000000001</v>
      </c>
      <c r="H45" s="19">
        <v>4.9180266666666674E-2</v>
      </c>
      <c r="I45" s="20">
        <f t="shared" si="2"/>
        <v>0.27322370370370375</v>
      </c>
      <c r="J45" s="20" t="str">
        <f>""</f>
        <v/>
      </c>
      <c r="K45" s="16" t="s">
        <v>22</v>
      </c>
      <c r="L45" s="21">
        <v>46234.588703703703</v>
      </c>
      <c r="M45" s="16">
        <v>12870</v>
      </c>
      <c r="N45" s="38" t="s">
        <v>34</v>
      </c>
    </row>
    <row r="46" spans="1:14" ht="48" customHeight="1">
      <c r="A46" s="30">
        <v>10</v>
      </c>
      <c r="B46" s="31" t="s">
        <v>37</v>
      </c>
      <c r="C46" s="32">
        <v>1</v>
      </c>
      <c r="D46" s="32" t="s">
        <v>19</v>
      </c>
      <c r="E46" s="33">
        <f>文件条件!F17</f>
        <v>0.18</v>
      </c>
      <c r="F46" s="34">
        <v>0.8</v>
      </c>
      <c r="G46" s="34">
        <v>0.79979999999999996</v>
      </c>
      <c r="H46" s="35">
        <v>0.16244781111111112</v>
      </c>
      <c r="I46" s="36">
        <f t="shared" si="2"/>
        <v>0.90248783950617295</v>
      </c>
      <c r="J46" s="36">
        <f t="shared" ref="J46:J52" si="4">I46</f>
        <v>0.90248783950617295</v>
      </c>
      <c r="K46" s="32" t="s">
        <v>20</v>
      </c>
      <c r="L46" s="37">
        <v>46235.554745370369</v>
      </c>
      <c r="M46" s="32">
        <v>4173</v>
      </c>
      <c r="N46" s="38" t="s">
        <v>34</v>
      </c>
    </row>
    <row r="47" spans="1:14" ht="48" customHeight="1">
      <c r="A47" s="7">
        <v>10</v>
      </c>
      <c r="B47" s="6" t="s">
        <v>37</v>
      </c>
      <c r="C47" s="1">
        <v>2</v>
      </c>
      <c r="D47" s="1" t="s">
        <v>19</v>
      </c>
      <c r="E47" s="8">
        <f>文件条件!F17</f>
        <v>0.18</v>
      </c>
      <c r="F47" s="10">
        <v>0.8</v>
      </c>
      <c r="G47" s="10">
        <v>0.79979999999999996</v>
      </c>
      <c r="H47" s="11">
        <v>0.14618311111111112</v>
      </c>
      <c r="I47" s="13">
        <f t="shared" si="2"/>
        <v>0.81212839506172851</v>
      </c>
      <c r="J47" s="13">
        <f t="shared" si="4"/>
        <v>0.81212839506172851</v>
      </c>
      <c r="K47" s="1" t="s">
        <v>20</v>
      </c>
      <c r="L47" s="12">
        <v>46236.529444444444</v>
      </c>
      <c r="M47" s="1">
        <v>8387</v>
      </c>
      <c r="N47" s="38" t="s">
        <v>34</v>
      </c>
    </row>
    <row r="48" spans="1:14" ht="48" customHeight="1">
      <c r="A48" s="7">
        <v>10</v>
      </c>
      <c r="B48" s="6" t="s">
        <v>37</v>
      </c>
      <c r="C48" s="1">
        <v>3</v>
      </c>
      <c r="D48" s="1" t="s">
        <v>19</v>
      </c>
      <c r="E48" s="8">
        <f>文件条件!F17</f>
        <v>0.18</v>
      </c>
      <c r="F48" s="10">
        <v>0.8</v>
      </c>
      <c r="G48" s="10">
        <v>0.79979999999999996</v>
      </c>
      <c r="H48" s="11">
        <v>0.1325580888888889</v>
      </c>
      <c r="I48" s="13">
        <f t="shared" si="2"/>
        <v>0.73643382716049388</v>
      </c>
      <c r="J48" s="13">
        <f t="shared" si="4"/>
        <v>0.73643382716049388</v>
      </c>
      <c r="K48" s="1" t="s">
        <v>20</v>
      </c>
      <c r="L48" s="12">
        <v>46237.408587962964</v>
      </c>
      <c r="M48" s="1">
        <v>12188</v>
      </c>
      <c r="N48" s="38" t="s">
        <v>34</v>
      </c>
    </row>
    <row r="49" spans="1:14" ht="48" customHeight="1">
      <c r="A49" s="7">
        <v>10</v>
      </c>
      <c r="B49" s="6" t="s">
        <v>37</v>
      </c>
      <c r="C49" s="1">
        <v>4</v>
      </c>
      <c r="D49" s="1" t="s">
        <v>19</v>
      </c>
      <c r="E49" s="8">
        <f>文件条件!F17</f>
        <v>0.18</v>
      </c>
      <c r="F49" s="10">
        <v>0.8</v>
      </c>
      <c r="G49" s="10">
        <v>0.79979999999999996</v>
      </c>
      <c r="H49" s="11">
        <v>0.12297211111111112</v>
      </c>
      <c r="I49" s="13">
        <f t="shared" si="2"/>
        <v>0.68317839506172839</v>
      </c>
      <c r="J49" s="13">
        <f t="shared" si="4"/>
        <v>0.68317839506172839</v>
      </c>
      <c r="K49" s="1" t="s">
        <v>20</v>
      </c>
      <c r="L49" s="12">
        <v>46238.222581018519</v>
      </c>
      <c r="M49" s="1">
        <v>15708</v>
      </c>
      <c r="N49" s="38" t="s">
        <v>34</v>
      </c>
    </row>
    <row r="50" spans="1:14" ht="48" customHeight="1">
      <c r="A50" s="7">
        <v>10</v>
      </c>
      <c r="B50" s="6" t="s">
        <v>37</v>
      </c>
      <c r="C50" s="1">
        <v>5</v>
      </c>
      <c r="D50" s="1" t="s">
        <v>19</v>
      </c>
      <c r="E50" s="8">
        <f>文件条件!F17</f>
        <v>0.18</v>
      </c>
      <c r="F50" s="10">
        <v>0.8</v>
      </c>
      <c r="G50" s="10">
        <v>0.79979999999999996</v>
      </c>
      <c r="H50" s="11">
        <v>0.10998505555555556</v>
      </c>
      <c r="I50" s="13">
        <f t="shared" si="2"/>
        <v>0.61102808641975315</v>
      </c>
      <c r="J50" s="13">
        <f t="shared" si="4"/>
        <v>0.61102808641975315</v>
      </c>
      <c r="K50" s="1" t="s">
        <v>20</v>
      </c>
      <c r="L50" s="12">
        <v>46238.949305555558</v>
      </c>
      <c r="M50" s="1">
        <v>18851</v>
      </c>
      <c r="N50" s="38" t="s">
        <v>34</v>
      </c>
    </row>
    <row r="51" spans="1:14" ht="48" customHeight="1">
      <c r="A51" s="7">
        <v>10</v>
      </c>
      <c r="B51" s="6" t="s">
        <v>37</v>
      </c>
      <c r="C51" s="1">
        <v>6</v>
      </c>
      <c r="D51" s="1" t="s">
        <v>19</v>
      </c>
      <c r="E51" s="8">
        <f>文件条件!F17</f>
        <v>0.18</v>
      </c>
      <c r="F51" s="10">
        <v>0.8</v>
      </c>
      <c r="G51" s="10">
        <v>0.79979999999999996</v>
      </c>
      <c r="H51" s="11">
        <v>0.1044904888888889</v>
      </c>
      <c r="I51" s="13">
        <f t="shared" si="2"/>
        <v>0.58050271604938275</v>
      </c>
      <c r="J51" s="13">
        <f t="shared" si="4"/>
        <v>0.58050271604938275</v>
      </c>
      <c r="K51" s="1" t="s">
        <v>20</v>
      </c>
      <c r="L51" s="12">
        <v>46239.638865740744</v>
      </c>
      <c r="M51" s="1">
        <v>21832</v>
      </c>
      <c r="N51" s="38" t="s">
        <v>34</v>
      </c>
    </row>
    <row r="52" spans="1:14" ht="48" customHeight="1">
      <c r="A52" s="7">
        <v>10</v>
      </c>
      <c r="B52" s="6" t="s">
        <v>37</v>
      </c>
      <c r="C52" s="1">
        <v>7</v>
      </c>
      <c r="D52" s="1" t="s">
        <v>19</v>
      </c>
      <c r="E52" s="8">
        <f>文件条件!F17</f>
        <v>0.18</v>
      </c>
      <c r="F52" s="10">
        <v>0.8</v>
      </c>
      <c r="G52" s="10">
        <v>0.79979999999999996</v>
      </c>
      <c r="H52" s="11">
        <v>0.10062567777777778</v>
      </c>
      <c r="I52" s="13">
        <f t="shared" si="2"/>
        <v>0.55903154320987658</v>
      </c>
      <c r="J52" s="13">
        <f t="shared" si="4"/>
        <v>0.55903154320987658</v>
      </c>
      <c r="K52" s="1" t="s">
        <v>20</v>
      </c>
      <c r="L52" s="12">
        <v>46240.303993055553</v>
      </c>
      <c r="M52" s="1">
        <v>24708</v>
      </c>
      <c r="N52" s="38" t="s">
        <v>34</v>
      </c>
    </row>
    <row r="53" spans="1:14" ht="48" customHeight="1">
      <c r="A53" s="7">
        <v>10</v>
      </c>
      <c r="B53" s="6" t="s">
        <v>37</v>
      </c>
      <c r="C53" s="1">
        <v>8</v>
      </c>
      <c r="D53" s="1" t="s">
        <v>19</v>
      </c>
      <c r="E53" s="8">
        <f>文件条件!F17</f>
        <v>0.18</v>
      </c>
      <c r="F53" s="10">
        <v>0.8</v>
      </c>
      <c r="G53" s="10">
        <v>1.4487000000000001</v>
      </c>
      <c r="H53" s="11">
        <v>3.8284588888888887E-2</v>
      </c>
      <c r="I53" s="13">
        <f t="shared" si="2"/>
        <v>0.21269216049382716</v>
      </c>
      <c r="J53" s="13" t="str">
        <f>""</f>
        <v/>
      </c>
      <c r="K53" s="1" t="s">
        <v>22</v>
      </c>
      <c r="L53" s="12">
        <v>46240.609456018516</v>
      </c>
      <c r="M53" s="1">
        <v>26030</v>
      </c>
      <c r="N53" s="38" t="s">
        <v>34</v>
      </c>
    </row>
    <row r="54" spans="1:14" ht="48" customHeight="1">
      <c r="A54" s="22">
        <v>11</v>
      </c>
      <c r="B54" s="23" t="s">
        <v>38</v>
      </c>
      <c r="C54" s="24">
        <v>1</v>
      </c>
      <c r="D54" s="24" t="s">
        <v>19</v>
      </c>
      <c r="E54" s="25">
        <f>文件条件!F18</f>
        <v>0.18</v>
      </c>
      <c r="F54" s="26">
        <v>0.8</v>
      </c>
      <c r="G54" s="26">
        <v>0.79979999999999996</v>
      </c>
      <c r="H54" s="27">
        <v>0.11977218888888889</v>
      </c>
      <c r="I54" s="28">
        <f t="shared" si="2"/>
        <v>0.66540104938271616</v>
      </c>
      <c r="J54" s="28">
        <f>I54</f>
        <v>0.66540104938271616</v>
      </c>
      <c r="K54" s="24" t="s">
        <v>20</v>
      </c>
      <c r="L54" s="29">
        <v>46241.333379629628</v>
      </c>
      <c r="M54" s="24">
        <v>3125</v>
      </c>
      <c r="N54" s="38" t="s">
        <v>34</v>
      </c>
    </row>
    <row r="55" spans="1:14" ht="48" customHeight="1">
      <c r="A55" s="14">
        <v>11</v>
      </c>
      <c r="B55" s="15" t="s">
        <v>38</v>
      </c>
      <c r="C55" s="16">
        <v>2</v>
      </c>
      <c r="D55" s="16" t="s">
        <v>19</v>
      </c>
      <c r="E55" s="17">
        <f>文件条件!F18</f>
        <v>0.18</v>
      </c>
      <c r="F55" s="18">
        <v>0.8</v>
      </c>
      <c r="G55" s="18">
        <v>1.5203</v>
      </c>
      <c r="H55" s="19">
        <v>1.6256419444444444E-2</v>
      </c>
      <c r="I55" s="20">
        <f t="shared" si="2"/>
        <v>9.0313441358024688E-2</v>
      </c>
      <c r="J55" s="20" t="str">
        <f>""</f>
        <v/>
      </c>
      <c r="K55" s="16" t="s">
        <v>22</v>
      </c>
      <c r="L55" s="21">
        <v>46241.537997685184</v>
      </c>
      <c r="M55" s="16">
        <v>4011</v>
      </c>
      <c r="N55" s="38" t="s">
        <v>34</v>
      </c>
    </row>
    <row r="56" spans="1:14" ht="48" customHeight="1">
      <c r="A56" s="30">
        <v>12</v>
      </c>
      <c r="B56" s="31" t="s">
        <v>39</v>
      </c>
      <c r="C56" s="32">
        <v>1</v>
      </c>
      <c r="D56" s="32" t="s">
        <v>19</v>
      </c>
      <c r="E56" s="33">
        <f>文件条件!F19</f>
        <v>0.18</v>
      </c>
      <c r="F56" s="34">
        <v>0.8</v>
      </c>
      <c r="G56" s="34">
        <v>0.79979999999999996</v>
      </c>
      <c r="H56" s="35">
        <v>0.11977218888888889</v>
      </c>
      <c r="I56" s="36">
        <f t="shared" si="2"/>
        <v>0.66540104938271616</v>
      </c>
      <c r="J56" s="36">
        <f>I56</f>
        <v>0.66540104938271616</v>
      </c>
      <c r="K56" s="32" t="s">
        <v>20</v>
      </c>
      <c r="L56" s="37">
        <v>46241.333379629628</v>
      </c>
      <c r="M56" s="32">
        <v>3125</v>
      </c>
      <c r="N56" s="38" t="s">
        <v>34</v>
      </c>
    </row>
    <row r="57" spans="1:14" ht="48" customHeight="1">
      <c r="A57" s="7">
        <v>12</v>
      </c>
      <c r="B57" s="6" t="s">
        <v>39</v>
      </c>
      <c r="C57" s="1">
        <v>2</v>
      </c>
      <c r="D57" s="1" t="s">
        <v>19</v>
      </c>
      <c r="E57" s="8">
        <f>文件条件!F19</f>
        <v>0.18</v>
      </c>
      <c r="F57" s="10">
        <v>0.8</v>
      </c>
      <c r="G57" s="10">
        <v>1.5203</v>
      </c>
      <c r="H57" s="11">
        <v>1.6256419444444444E-2</v>
      </c>
      <c r="I57" s="13">
        <f t="shared" si="2"/>
        <v>9.0313441358024688E-2</v>
      </c>
      <c r="J57" s="13" t="str">
        <f>""</f>
        <v/>
      </c>
      <c r="K57" s="1" t="s">
        <v>22</v>
      </c>
      <c r="L57" s="12">
        <v>46241.537997685184</v>
      </c>
      <c r="M57" s="1">
        <v>4011</v>
      </c>
      <c r="N57" s="38" t="s">
        <v>34</v>
      </c>
    </row>
    <row r="58" spans="1:14" ht="48" customHeight="1">
      <c r="A58" s="22">
        <v>13</v>
      </c>
      <c r="B58" s="23" t="s">
        <v>40</v>
      </c>
      <c r="C58" s="24">
        <v>1</v>
      </c>
      <c r="D58" s="24" t="s">
        <v>28</v>
      </c>
      <c r="E58" s="25">
        <f>文件条件!F20</f>
        <v>0.18</v>
      </c>
      <c r="F58" s="26">
        <v>0.8</v>
      </c>
      <c r="G58" s="26">
        <v>0.79979999999999996</v>
      </c>
      <c r="H58" s="27">
        <v>0.18680231111111112</v>
      </c>
      <c r="I58" s="28">
        <f t="shared" si="2"/>
        <v>1.0377906172839506</v>
      </c>
      <c r="J58" s="28">
        <f>I58</f>
        <v>1.0377906172839506</v>
      </c>
      <c r="K58" s="24" t="s">
        <v>20</v>
      </c>
      <c r="L58" s="29">
        <v>46232.881956018522</v>
      </c>
      <c r="M58" s="24">
        <v>5491</v>
      </c>
      <c r="N58" s="38" t="s">
        <v>34</v>
      </c>
    </row>
    <row r="59" spans="1:14" ht="48" customHeight="1">
      <c r="A59" s="14">
        <v>13</v>
      </c>
      <c r="B59" s="15" t="s">
        <v>40</v>
      </c>
      <c r="C59" s="16">
        <v>2</v>
      </c>
      <c r="D59" s="16" t="s">
        <v>28</v>
      </c>
      <c r="E59" s="17">
        <f>文件条件!F20</f>
        <v>0.18</v>
      </c>
      <c r="F59" s="18">
        <v>0.8</v>
      </c>
      <c r="G59" s="18">
        <v>0.79979999999999996</v>
      </c>
      <c r="H59" s="19">
        <v>0.19452080000000002</v>
      </c>
      <c r="I59" s="20">
        <f t="shared" si="2"/>
        <v>1.0806711111111114</v>
      </c>
      <c r="J59" s="20">
        <f>I59</f>
        <v>1.0806711111111114</v>
      </c>
      <c r="K59" s="16" t="s">
        <v>20</v>
      </c>
      <c r="L59" s="21">
        <v>46234.153900462959</v>
      </c>
      <c r="M59" s="16">
        <v>10989</v>
      </c>
      <c r="N59" s="38" t="s">
        <v>34</v>
      </c>
    </row>
    <row r="60" spans="1:14" ht="48" customHeight="1">
      <c r="A60" s="14">
        <v>13</v>
      </c>
      <c r="B60" s="15" t="s">
        <v>40</v>
      </c>
      <c r="C60" s="16">
        <v>3</v>
      </c>
      <c r="D60" s="16" t="s">
        <v>28</v>
      </c>
      <c r="E60" s="17">
        <f>文件条件!F20</f>
        <v>0.18</v>
      </c>
      <c r="F60" s="18">
        <v>0.8</v>
      </c>
      <c r="G60" s="18">
        <v>1.4394</v>
      </c>
      <c r="H60" s="19">
        <v>4.8852711111111113E-2</v>
      </c>
      <c r="I60" s="20">
        <f t="shared" si="2"/>
        <v>0.27140395061728395</v>
      </c>
      <c r="J60" s="20" t="str">
        <f>""</f>
        <v/>
      </c>
      <c r="K60" s="16" t="s">
        <v>22</v>
      </c>
      <c r="L60" s="21">
        <v>46234.586851851855</v>
      </c>
      <c r="M60" s="16">
        <v>12862</v>
      </c>
      <c r="N60" s="38" t="s">
        <v>34</v>
      </c>
    </row>
    <row r="61" spans="1:14" ht="48" customHeight="1">
      <c r="A61" s="30">
        <v>14</v>
      </c>
      <c r="B61" s="31" t="s">
        <v>41</v>
      </c>
      <c r="C61" s="32">
        <v>1</v>
      </c>
      <c r="D61" s="32" t="s">
        <v>28</v>
      </c>
      <c r="E61" s="33">
        <f>文件条件!F21</f>
        <v>0.18</v>
      </c>
      <c r="F61" s="34">
        <v>0.8</v>
      </c>
      <c r="G61" s="34">
        <v>0.79979999999999996</v>
      </c>
      <c r="H61" s="35">
        <v>0.18680231111111112</v>
      </c>
      <c r="I61" s="36">
        <f t="shared" si="2"/>
        <v>1.0377906172839506</v>
      </c>
      <c r="J61" s="36">
        <f>I61</f>
        <v>1.0377906172839506</v>
      </c>
      <c r="K61" s="32" t="s">
        <v>20</v>
      </c>
      <c r="L61" s="37">
        <v>46232.881956018522</v>
      </c>
      <c r="M61" s="32">
        <v>5491</v>
      </c>
      <c r="N61" s="38" t="s">
        <v>34</v>
      </c>
    </row>
    <row r="62" spans="1:14" ht="48" customHeight="1">
      <c r="A62" s="7">
        <v>14</v>
      </c>
      <c r="B62" s="6" t="s">
        <v>41</v>
      </c>
      <c r="C62" s="1">
        <v>2</v>
      </c>
      <c r="D62" s="1" t="s">
        <v>28</v>
      </c>
      <c r="E62" s="8">
        <f>文件条件!F21</f>
        <v>0.18</v>
      </c>
      <c r="F62" s="10">
        <v>0.8</v>
      </c>
      <c r="G62" s="10">
        <v>0.79979999999999996</v>
      </c>
      <c r="H62" s="11">
        <v>0.19452080000000002</v>
      </c>
      <c r="I62" s="13">
        <f t="shared" si="2"/>
        <v>1.0806711111111114</v>
      </c>
      <c r="J62" s="13">
        <f>I62</f>
        <v>1.0806711111111114</v>
      </c>
      <c r="K62" s="1" t="s">
        <v>20</v>
      </c>
      <c r="L62" s="12">
        <v>46234.153900462959</v>
      </c>
      <c r="M62" s="1">
        <v>10989</v>
      </c>
      <c r="N62" s="38" t="s">
        <v>34</v>
      </c>
    </row>
    <row r="63" spans="1:14" ht="48" customHeight="1">
      <c r="A63" s="7">
        <v>14</v>
      </c>
      <c r="B63" s="6" t="s">
        <v>41</v>
      </c>
      <c r="C63" s="1">
        <v>3</v>
      </c>
      <c r="D63" s="1" t="s">
        <v>28</v>
      </c>
      <c r="E63" s="8">
        <f>文件条件!F21</f>
        <v>0.18</v>
      </c>
      <c r="F63" s="10">
        <v>0.8</v>
      </c>
      <c r="G63" s="10">
        <v>1.4394</v>
      </c>
      <c r="H63" s="11">
        <v>4.8852711111111113E-2</v>
      </c>
      <c r="I63" s="13">
        <f t="shared" si="2"/>
        <v>0.27140395061728395</v>
      </c>
      <c r="J63" s="13" t="str">
        <f>""</f>
        <v/>
      </c>
      <c r="K63" s="1" t="s">
        <v>22</v>
      </c>
      <c r="L63" s="12">
        <v>46234.586851851855</v>
      </c>
      <c r="M63" s="1">
        <v>12862</v>
      </c>
      <c r="N63" s="38" t="s">
        <v>34</v>
      </c>
    </row>
    <row r="64" spans="1:14" ht="48" customHeight="1">
      <c r="A64" s="22">
        <v>15</v>
      </c>
      <c r="B64" s="23" t="s">
        <v>42</v>
      </c>
      <c r="C64" s="24">
        <v>1</v>
      </c>
      <c r="D64" s="24" t="s">
        <v>32</v>
      </c>
      <c r="E64" s="25">
        <f>文件条件!F22</f>
        <v>0.18</v>
      </c>
      <c r="F64" s="26">
        <v>0.8</v>
      </c>
      <c r="G64" s="26">
        <v>0.79979999999999996</v>
      </c>
      <c r="H64" s="27">
        <v>0.16244781111111112</v>
      </c>
      <c r="I64" s="28">
        <f t="shared" si="2"/>
        <v>0.90248783950617295</v>
      </c>
      <c r="J64" s="28">
        <f t="shared" ref="J64:J70" si="5">I64</f>
        <v>0.90248783950617295</v>
      </c>
      <c r="K64" s="24" t="s">
        <v>20</v>
      </c>
      <c r="L64" s="29">
        <v>46235.554745370369</v>
      </c>
      <c r="M64" s="24">
        <v>4173</v>
      </c>
      <c r="N64" s="38" t="s">
        <v>34</v>
      </c>
    </row>
    <row r="65" spans="1:14" ht="48" customHeight="1">
      <c r="A65" s="14">
        <v>15</v>
      </c>
      <c r="B65" s="15" t="s">
        <v>42</v>
      </c>
      <c r="C65" s="16">
        <v>2</v>
      </c>
      <c r="D65" s="16" t="s">
        <v>32</v>
      </c>
      <c r="E65" s="17">
        <f>文件条件!F22</f>
        <v>0.18</v>
      </c>
      <c r="F65" s="18">
        <v>0.8</v>
      </c>
      <c r="G65" s="18">
        <v>0.79979999999999996</v>
      </c>
      <c r="H65" s="19">
        <v>0.14618311111111112</v>
      </c>
      <c r="I65" s="20">
        <f t="shared" si="2"/>
        <v>0.81212839506172851</v>
      </c>
      <c r="J65" s="20">
        <f t="shared" si="5"/>
        <v>0.81212839506172851</v>
      </c>
      <c r="K65" s="16" t="s">
        <v>20</v>
      </c>
      <c r="L65" s="21">
        <v>46236.529444444444</v>
      </c>
      <c r="M65" s="16">
        <v>8387</v>
      </c>
      <c r="N65" s="38" t="s">
        <v>34</v>
      </c>
    </row>
    <row r="66" spans="1:14" ht="48" customHeight="1">
      <c r="A66" s="14">
        <v>15</v>
      </c>
      <c r="B66" s="15" t="s">
        <v>42</v>
      </c>
      <c r="C66" s="16">
        <v>3</v>
      </c>
      <c r="D66" s="16" t="s">
        <v>32</v>
      </c>
      <c r="E66" s="17">
        <f>文件条件!F22</f>
        <v>0.18</v>
      </c>
      <c r="F66" s="18">
        <v>0.8</v>
      </c>
      <c r="G66" s="18">
        <v>0.79979999999999996</v>
      </c>
      <c r="H66" s="19">
        <v>0.1325580888888889</v>
      </c>
      <c r="I66" s="20">
        <f t="shared" si="2"/>
        <v>0.73643382716049388</v>
      </c>
      <c r="J66" s="20">
        <f t="shared" si="5"/>
        <v>0.73643382716049388</v>
      </c>
      <c r="K66" s="16" t="s">
        <v>20</v>
      </c>
      <c r="L66" s="21">
        <v>46237.408587962964</v>
      </c>
      <c r="M66" s="16">
        <v>12188</v>
      </c>
      <c r="N66" s="38" t="s">
        <v>34</v>
      </c>
    </row>
    <row r="67" spans="1:14" ht="48" customHeight="1">
      <c r="A67" s="14">
        <v>15</v>
      </c>
      <c r="B67" s="15" t="s">
        <v>42</v>
      </c>
      <c r="C67" s="16">
        <v>4</v>
      </c>
      <c r="D67" s="16" t="s">
        <v>32</v>
      </c>
      <c r="E67" s="17">
        <f>文件条件!F22</f>
        <v>0.18</v>
      </c>
      <c r="F67" s="18">
        <v>0.8</v>
      </c>
      <c r="G67" s="18">
        <v>0.79979999999999996</v>
      </c>
      <c r="H67" s="19">
        <v>0.12297211111111112</v>
      </c>
      <c r="I67" s="20">
        <f t="shared" si="2"/>
        <v>0.68317839506172839</v>
      </c>
      <c r="J67" s="20">
        <f t="shared" si="5"/>
        <v>0.68317839506172839</v>
      </c>
      <c r="K67" s="16" t="s">
        <v>20</v>
      </c>
      <c r="L67" s="21">
        <v>46238.222581018519</v>
      </c>
      <c r="M67" s="16">
        <v>15708</v>
      </c>
      <c r="N67" s="38" t="s">
        <v>34</v>
      </c>
    </row>
    <row r="68" spans="1:14" ht="48" customHeight="1">
      <c r="A68" s="14">
        <v>15</v>
      </c>
      <c r="B68" s="15" t="s">
        <v>42</v>
      </c>
      <c r="C68" s="16">
        <v>5</v>
      </c>
      <c r="D68" s="16" t="s">
        <v>32</v>
      </c>
      <c r="E68" s="17">
        <f>文件条件!F22</f>
        <v>0.18</v>
      </c>
      <c r="F68" s="18">
        <v>0.8</v>
      </c>
      <c r="G68" s="18">
        <v>0.79979999999999996</v>
      </c>
      <c r="H68" s="19">
        <v>0.10998505555555556</v>
      </c>
      <c r="I68" s="20">
        <f t="shared" si="2"/>
        <v>0.61102808641975315</v>
      </c>
      <c r="J68" s="20">
        <f t="shared" si="5"/>
        <v>0.61102808641975315</v>
      </c>
      <c r="K68" s="16" t="s">
        <v>20</v>
      </c>
      <c r="L68" s="21">
        <v>46238.949305555558</v>
      </c>
      <c r="M68" s="16">
        <v>18851</v>
      </c>
      <c r="N68" s="38" t="s">
        <v>34</v>
      </c>
    </row>
    <row r="69" spans="1:14" ht="48" customHeight="1">
      <c r="A69" s="14">
        <v>15</v>
      </c>
      <c r="B69" s="15" t="s">
        <v>42</v>
      </c>
      <c r="C69" s="16">
        <v>6</v>
      </c>
      <c r="D69" s="16" t="s">
        <v>32</v>
      </c>
      <c r="E69" s="17">
        <f>文件条件!F22</f>
        <v>0.18</v>
      </c>
      <c r="F69" s="18">
        <v>0.8</v>
      </c>
      <c r="G69" s="18">
        <v>0.79979999999999996</v>
      </c>
      <c r="H69" s="19">
        <v>0.1044904888888889</v>
      </c>
      <c r="I69" s="20">
        <f t="shared" si="2"/>
        <v>0.58050271604938275</v>
      </c>
      <c r="J69" s="20">
        <f t="shared" si="5"/>
        <v>0.58050271604938275</v>
      </c>
      <c r="K69" s="16" t="s">
        <v>20</v>
      </c>
      <c r="L69" s="21">
        <v>46239.638865740744</v>
      </c>
      <c r="M69" s="16">
        <v>21832</v>
      </c>
      <c r="N69" s="38" t="s">
        <v>34</v>
      </c>
    </row>
    <row r="70" spans="1:14" ht="48" customHeight="1">
      <c r="A70" s="14">
        <v>15</v>
      </c>
      <c r="B70" s="15" t="s">
        <v>42</v>
      </c>
      <c r="C70" s="16">
        <v>7</v>
      </c>
      <c r="D70" s="16" t="s">
        <v>32</v>
      </c>
      <c r="E70" s="17">
        <f>文件条件!F22</f>
        <v>0.18</v>
      </c>
      <c r="F70" s="18">
        <v>0.8</v>
      </c>
      <c r="G70" s="18">
        <v>0.79979999999999996</v>
      </c>
      <c r="H70" s="19">
        <v>0.10062567777777778</v>
      </c>
      <c r="I70" s="20">
        <f t="shared" si="2"/>
        <v>0.55903154320987658</v>
      </c>
      <c r="J70" s="20">
        <f t="shared" si="5"/>
        <v>0.55903154320987658</v>
      </c>
      <c r="K70" s="16" t="s">
        <v>20</v>
      </c>
      <c r="L70" s="21">
        <v>46240.303993055553</v>
      </c>
      <c r="M70" s="16">
        <v>24708</v>
      </c>
      <c r="N70" s="38" t="s">
        <v>34</v>
      </c>
    </row>
    <row r="71" spans="1:14" ht="48" customHeight="1">
      <c r="A71" s="14">
        <v>15</v>
      </c>
      <c r="B71" s="15" t="s">
        <v>42</v>
      </c>
      <c r="C71" s="16">
        <v>8</v>
      </c>
      <c r="D71" s="16" t="s">
        <v>32</v>
      </c>
      <c r="E71" s="17">
        <f>文件条件!F22</f>
        <v>0.18</v>
      </c>
      <c r="F71" s="18">
        <v>0.8</v>
      </c>
      <c r="G71" s="18">
        <v>1.4483999999999999</v>
      </c>
      <c r="H71" s="19">
        <v>3.8448366666666671E-2</v>
      </c>
      <c r="I71" s="20">
        <f t="shared" si="2"/>
        <v>0.21360203703703706</v>
      </c>
      <c r="J71" s="20" t="str">
        <f>""</f>
        <v/>
      </c>
      <c r="K71" s="16" t="s">
        <v>22</v>
      </c>
      <c r="L71" s="21">
        <v>46240.610381944447</v>
      </c>
      <c r="M71" s="16">
        <v>26034</v>
      </c>
      <c r="N71" s="38" t="s">
        <v>34</v>
      </c>
    </row>
  </sheetData>
  <conditionalFormatting sqref="K8:K71">
    <cfRule type="containsText" dxfId="0" priority="1" operator="containsText" text="未达截止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C8" sqref="C8"/>
    </sheetView>
  </sheetViews>
  <sheetFormatPr defaultRowHeight="14.25"/>
  <cols>
    <col min="1" max="1" width="8.125" customWidth="1"/>
    <col min="2" max="2" width="62.5" customWidth="1"/>
    <col min="3" max="3" width="12.5" customWidth="1"/>
    <col min="4" max="4" width="29.375" customWidth="1"/>
    <col min="5" max="5" width="17.5" customWidth="1"/>
    <col min="6" max="6" width="15" customWidth="1"/>
    <col min="7" max="7" width="14.375" customWidth="1"/>
    <col min="8" max="8" width="33.125" customWidth="1"/>
  </cols>
  <sheetData>
    <row r="1" spans="1:8" ht="7.5" customHeight="1">
      <c r="A1" s="1"/>
      <c r="B1" s="1"/>
      <c r="C1" s="1"/>
      <c r="D1" s="1"/>
      <c r="E1" s="1"/>
      <c r="F1" s="1"/>
      <c r="G1" s="1"/>
      <c r="H1" s="1"/>
    </row>
    <row r="2" spans="1:8" ht="25.5" customHeight="1">
      <c r="A2" s="1"/>
      <c r="B2" s="2" t="s">
        <v>43</v>
      </c>
      <c r="C2" s="3"/>
      <c r="D2" s="3"/>
      <c r="E2" s="3"/>
      <c r="F2" s="3"/>
      <c r="G2" s="3"/>
      <c r="H2" s="3"/>
    </row>
    <row r="3" spans="1:8" ht="18.75" customHeight="1">
      <c r="A3" s="1"/>
      <c r="B3" s="4" t="s">
        <v>44</v>
      </c>
      <c r="C3" s="1"/>
      <c r="D3" s="1"/>
      <c r="E3" s="1"/>
      <c r="F3" s="1"/>
      <c r="G3" s="1"/>
      <c r="H3" s="1"/>
    </row>
    <row r="4" spans="1:8" ht="18.75" customHeight="1">
      <c r="A4" s="1"/>
      <c r="B4" s="4" t="s">
        <v>45</v>
      </c>
      <c r="C4" s="1"/>
      <c r="D4" s="1"/>
      <c r="E4" s="1"/>
      <c r="F4" s="1"/>
      <c r="G4" s="1"/>
      <c r="H4" s="1"/>
    </row>
    <row r="5" spans="1:8" ht="18.75" customHeight="1">
      <c r="A5" s="1"/>
      <c r="B5" s="4" t="s">
        <v>46</v>
      </c>
      <c r="C5" s="1"/>
      <c r="D5" s="1"/>
      <c r="E5" s="1"/>
      <c r="F5" s="1"/>
      <c r="G5" s="1"/>
      <c r="H5" s="1"/>
    </row>
    <row r="6" spans="1:8" ht="9" customHeight="1">
      <c r="A6" s="1"/>
      <c r="B6" s="1"/>
      <c r="C6" s="1"/>
      <c r="D6" s="1"/>
      <c r="E6" s="1"/>
      <c r="F6" s="1"/>
      <c r="G6" s="1"/>
      <c r="H6" s="1"/>
    </row>
    <row r="7" spans="1:8" ht="48" customHeight="1">
      <c r="A7" s="5" t="s">
        <v>4</v>
      </c>
      <c r="B7" s="5" t="s">
        <v>5</v>
      </c>
      <c r="C7" s="5" t="s">
        <v>47</v>
      </c>
      <c r="D7" s="5" t="s">
        <v>48</v>
      </c>
      <c r="E7" s="5" t="s">
        <v>49</v>
      </c>
      <c r="F7" s="5" t="s">
        <v>50</v>
      </c>
      <c r="G7" s="5" t="s">
        <v>51</v>
      </c>
      <c r="H7" s="5" t="s">
        <v>52</v>
      </c>
    </row>
    <row r="8" spans="1:8" ht="48" customHeight="1">
      <c r="A8" s="7">
        <v>1</v>
      </c>
      <c r="B8" s="6" t="s">
        <v>18</v>
      </c>
      <c r="C8" s="1" t="s">
        <v>21</v>
      </c>
      <c r="D8" s="1" t="s">
        <v>19</v>
      </c>
      <c r="E8" s="8">
        <v>0.05</v>
      </c>
      <c r="F8" s="9">
        <v>0.18</v>
      </c>
      <c r="G8" s="1">
        <v>10</v>
      </c>
      <c r="H8" s="1" t="s">
        <v>53</v>
      </c>
    </row>
    <row r="9" spans="1:8" ht="48" customHeight="1">
      <c r="A9" s="7">
        <v>2</v>
      </c>
      <c r="B9" s="6" t="s">
        <v>23</v>
      </c>
      <c r="C9" s="1" t="s">
        <v>21</v>
      </c>
      <c r="D9" s="1" t="s">
        <v>19</v>
      </c>
      <c r="E9" s="8">
        <v>0.05</v>
      </c>
      <c r="F9" s="9">
        <v>0.18</v>
      </c>
      <c r="G9" s="1">
        <v>2</v>
      </c>
      <c r="H9" s="1" t="s">
        <v>53</v>
      </c>
    </row>
    <row r="10" spans="1:8" ht="48" customHeight="1">
      <c r="A10" s="7">
        <v>3</v>
      </c>
      <c r="B10" s="6" t="s">
        <v>25</v>
      </c>
      <c r="C10" s="1" t="s">
        <v>21</v>
      </c>
      <c r="D10" s="1" t="s">
        <v>19</v>
      </c>
      <c r="E10" s="8">
        <v>0.05</v>
      </c>
      <c r="F10" s="9">
        <v>0.18</v>
      </c>
      <c r="G10" s="1">
        <v>2</v>
      </c>
      <c r="H10" s="1" t="s">
        <v>53</v>
      </c>
    </row>
    <row r="11" spans="1:8" ht="48" customHeight="1">
      <c r="A11" s="7">
        <v>4</v>
      </c>
      <c r="B11" s="6" t="s">
        <v>26</v>
      </c>
      <c r="C11" s="1" t="s">
        <v>21</v>
      </c>
      <c r="D11" s="1" t="s">
        <v>19</v>
      </c>
      <c r="E11" s="8">
        <v>0.05</v>
      </c>
      <c r="F11" s="9">
        <v>0.18</v>
      </c>
      <c r="G11" s="1">
        <v>2</v>
      </c>
      <c r="H11" s="1" t="s">
        <v>53</v>
      </c>
    </row>
    <row r="12" spans="1:8" ht="48" customHeight="1">
      <c r="A12" s="7">
        <v>5</v>
      </c>
      <c r="B12" s="6" t="s">
        <v>27</v>
      </c>
      <c r="C12" s="1" t="s">
        <v>21</v>
      </c>
      <c r="D12" s="1" t="s">
        <v>28</v>
      </c>
      <c r="E12" s="8">
        <v>0.05</v>
      </c>
      <c r="F12" s="9">
        <v>0.18</v>
      </c>
      <c r="G12" s="1">
        <v>3</v>
      </c>
      <c r="H12" s="1" t="s">
        <v>53</v>
      </c>
    </row>
    <row r="13" spans="1:8" ht="48" customHeight="1">
      <c r="A13" s="7">
        <v>6</v>
      </c>
      <c r="B13" s="6" t="s">
        <v>29</v>
      </c>
      <c r="C13" s="1" t="s">
        <v>21</v>
      </c>
      <c r="D13" s="1" t="s">
        <v>28</v>
      </c>
      <c r="E13" s="8">
        <v>0.05</v>
      </c>
      <c r="F13" s="9">
        <v>0.18</v>
      </c>
      <c r="G13" s="1">
        <v>3</v>
      </c>
      <c r="H13" s="1" t="s">
        <v>53</v>
      </c>
    </row>
    <row r="14" spans="1:8" ht="48" customHeight="1">
      <c r="A14" s="7">
        <v>7</v>
      </c>
      <c r="B14" s="6" t="s">
        <v>30</v>
      </c>
      <c r="C14" s="1" t="s">
        <v>21</v>
      </c>
      <c r="D14" s="1" t="s">
        <v>28</v>
      </c>
      <c r="E14" s="8">
        <v>0.05</v>
      </c>
      <c r="F14" s="9">
        <v>0.18</v>
      </c>
      <c r="G14" s="1">
        <v>3</v>
      </c>
      <c r="H14" s="1" t="s">
        <v>53</v>
      </c>
    </row>
    <row r="15" spans="1:8" ht="48" customHeight="1">
      <c r="A15" s="7">
        <v>8</v>
      </c>
      <c r="B15" s="6" t="s">
        <v>31</v>
      </c>
      <c r="C15" s="1" t="s">
        <v>21</v>
      </c>
      <c r="D15" s="1" t="s">
        <v>32</v>
      </c>
      <c r="E15" s="8">
        <v>0.05</v>
      </c>
      <c r="F15" s="9">
        <v>0.18</v>
      </c>
      <c r="G15" s="1">
        <v>10</v>
      </c>
      <c r="H15" s="1" t="s">
        <v>54</v>
      </c>
    </row>
    <row r="16" spans="1:8" ht="48" customHeight="1">
      <c r="A16" s="7">
        <v>9</v>
      </c>
      <c r="B16" s="6" t="s">
        <v>33</v>
      </c>
      <c r="C16" s="1" t="s">
        <v>34</v>
      </c>
      <c r="D16" s="1" t="s">
        <v>55</v>
      </c>
      <c r="E16" s="8">
        <v>0.05</v>
      </c>
      <c r="F16" s="9">
        <v>0.18</v>
      </c>
      <c r="G16" s="1">
        <v>3</v>
      </c>
      <c r="H16" s="1" t="s">
        <v>53</v>
      </c>
    </row>
    <row r="17" spans="1:8" ht="48" customHeight="1">
      <c r="A17" s="7">
        <v>10</v>
      </c>
      <c r="B17" s="6" t="s">
        <v>37</v>
      </c>
      <c r="C17" s="1" t="s">
        <v>34</v>
      </c>
      <c r="D17" s="1" t="s">
        <v>19</v>
      </c>
      <c r="E17" s="8">
        <v>0.05</v>
      </c>
      <c r="F17" s="9">
        <v>0.18</v>
      </c>
      <c r="G17" s="1">
        <v>8</v>
      </c>
      <c r="H17" s="1" t="s">
        <v>53</v>
      </c>
    </row>
    <row r="18" spans="1:8" ht="48" customHeight="1">
      <c r="A18" s="7">
        <v>11</v>
      </c>
      <c r="B18" s="6" t="s">
        <v>38</v>
      </c>
      <c r="C18" s="1" t="s">
        <v>34</v>
      </c>
      <c r="D18" s="1" t="s">
        <v>19</v>
      </c>
      <c r="E18" s="8">
        <v>0.05</v>
      </c>
      <c r="F18" s="9">
        <v>0.18</v>
      </c>
      <c r="G18" s="1">
        <v>2</v>
      </c>
      <c r="H18" s="1" t="s">
        <v>53</v>
      </c>
    </row>
    <row r="19" spans="1:8" ht="48" customHeight="1">
      <c r="A19" s="7">
        <v>12</v>
      </c>
      <c r="B19" s="6" t="s">
        <v>39</v>
      </c>
      <c r="C19" s="1" t="s">
        <v>34</v>
      </c>
      <c r="D19" s="1" t="s">
        <v>19</v>
      </c>
      <c r="E19" s="8">
        <v>0.05</v>
      </c>
      <c r="F19" s="9">
        <v>0.18</v>
      </c>
      <c r="G19" s="1">
        <v>2</v>
      </c>
      <c r="H19" s="1" t="s">
        <v>53</v>
      </c>
    </row>
    <row r="20" spans="1:8" ht="48" customHeight="1">
      <c r="A20" s="7">
        <v>13</v>
      </c>
      <c r="B20" s="6" t="s">
        <v>40</v>
      </c>
      <c r="C20" s="1" t="s">
        <v>34</v>
      </c>
      <c r="D20" s="1" t="s">
        <v>28</v>
      </c>
      <c r="E20" s="8">
        <v>0.05</v>
      </c>
      <c r="F20" s="9">
        <v>0.18</v>
      </c>
      <c r="G20" s="1">
        <v>3</v>
      </c>
      <c r="H20" s="1" t="s">
        <v>53</v>
      </c>
    </row>
    <row r="21" spans="1:8" ht="48" customHeight="1">
      <c r="A21" s="7">
        <v>14</v>
      </c>
      <c r="B21" s="6" t="s">
        <v>41</v>
      </c>
      <c r="C21" s="1" t="s">
        <v>34</v>
      </c>
      <c r="D21" s="1" t="s">
        <v>28</v>
      </c>
      <c r="E21" s="8">
        <v>0.05</v>
      </c>
      <c r="F21" s="9">
        <v>0.18</v>
      </c>
      <c r="G21" s="1">
        <v>3</v>
      </c>
      <c r="H21" s="1" t="s">
        <v>53</v>
      </c>
    </row>
    <row r="22" spans="1:8" ht="48" customHeight="1">
      <c r="A22" s="7">
        <v>15</v>
      </c>
      <c r="B22" s="6" t="s">
        <v>42</v>
      </c>
      <c r="C22" s="1" t="s">
        <v>34</v>
      </c>
      <c r="D22" s="1" t="s">
        <v>32</v>
      </c>
      <c r="E22" s="8">
        <v>0.05</v>
      </c>
      <c r="F22" s="9">
        <v>0.18</v>
      </c>
      <c r="G22" s="1">
        <v>8</v>
      </c>
      <c r="H22" s="1" t="s">
        <v>54</v>
      </c>
    </row>
  </sheetData>
  <dataValidations count="1">
    <dataValidation type="decimal" operator="greaterThan" sqref="F8:F22" xr:uid="{00000000-0002-0000-0100-000000000000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所有循环</vt:lpstr>
      <vt:lpstr>文件条件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Zexin Yu</cp:lastModifiedBy>
  <dcterms:modified xsi:type="dcterms:W3CDTF">2026-09-12T14:11:33Z</dcterms:modified>
</cp:coreProperties>
</file>